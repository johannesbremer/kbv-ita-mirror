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J:\DIG\ITA\UPD\Softwarehaeuser\Medizinische_Dokumentationen\TMZ-Herzinsuffizienz\in_Arbeit\"/>
    </mc:Choice>
  </mc:AlternateContent>
  <xr:revisionPtr revIDLastSave="0" documentId="13_ncr:1_{5A3451A6-3398-4097-916D-81C5C63F430C}" xr6:coauthVersionLast="47" xr6:coauthVersionMax="47" xr10:uidLastSave="{00000000-0000-0000-0000-000000000000}"/>
  <bookViews>
    <workbookView xWindow="-120" yWindow="-120" windowWidth="38640" windowHeight="21240" activeTab="1" xr2:uid="{00000000-000D-0000-FFFF-FFFF00000000}"/>
  </bookViews>
  <sheets>
    <sheet name="Tab. 1 (Patientenbezogen)" sheetId="2" r:id="rId1"/>
    <sheet name="Tab.2 (Jahresstatistik)"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9" i="4" l="1"/>
  <c r="Y8" i="4"/>
  <c r="Y7" i="4"/>
  <c r="Y6" i="4"/>
  <c r="W9" i="4"/>
  <c r="W8" i="4"/>
  <c r="W7" i="4"/>
  <c r="W6" i="4"/>
  <c r="U9" i="4"/>
  <c r="U8" i="4"/>
  <c r="U7" i="4"/>
  <c r="U6" i="4"/>
  <c r="S9" i="4"/>
  <c r="S8" i="4"/>
  <c r="S7" i="4"/>
  <c r="S6" i="4"/>
  <c r="R6" i="4"/>
  <c r="T6" i="4" s="1"/>
  <c r="Q9" i="4"/>
  <c r="Q8" i="4"/>
  <c r="Q7" i="4"/>
  <c r="Q6" i="4"/>
  <c r="P7" i="4"/>
  <c r="O9" i="4"/>
  <c r="O8" i="4"/>
  <c r="O7" i="4"/>
  <c r="O6" i="4"/>
  <c r="N9" i="4"/>
  <c r="N8" i="4"/>
  <c r="N7" i="4"/>
  <c r="N6" i="4"/>
  <c r="L9" i="4"/>
  <c r="L8" i="4"/>
  <c r="L7" i="4"/>
  <c r="L6" i="4"/>
  <c r="I9" i="4"/>
  <c r="I8" i="4"/>
  <c r="I7" i="4"/>
  <c r="I6" i="4"/>
  <c r="K9" i="4"/>
  <c r="K8" i="4"/>
  <c r="K7" i="4"/>
  <c r="K6" i="4"/>
  <c r="J7" i="4"/>
  <c r="V9" i="4"/>
  <c r="X9" i="4" s="1"/>
  <c r="V8" i="4"/>
  <c r="X8" i="4" s="1"/>
  <c r="V7" i="4"/>
  <c r="X7" i="4" s="1"/>
  <c r="V6" i="4"/>
  <c r="X6" i="4" s="1"/>
  <c r="R9" i="4"/>
  <c r="T9" i="4" s="1"/>
  <c r="R8" i="4"/>
  <c r="T8" i="4" s="1"/>
  <c r="R7" i="4"/>
  <c r="T7" i="4" s="1"/>
  <c r="G9" i="4"/>
  <c r="P9" i="4" s="1"/>
  <c r="H9" i="4"/>
  <c r="H8" i="4"/>
  <c r="H7" i="4"/>
  <c r="H6" i="4"/>
  <c r="G8" i="4"/>
  <c r="M8" i="4" s="1"/>
  <c r="G7" i="4"/>
  <c r="M7" i="4" s="1"/>
  <c r="G6" i="4"/>
  <c r="P6" i="4" s="1"/>
  <c r="J8" i="4" l="1"/>
  <c r="P8" i="4"/>
  <c r="J9" i="4"/>
  <c r="M9" i="4"/>
  <c r="J6" i="4"/>
  <c r="M6" i="4"/>
</calcChain>
</file>

<file path=xl/sharedStrings.xml><?xml version="1.0" encoding="utf-8"?>
<sst xmlns="http://schemas.openxmlformats.org/spreadsheetml/2006/main" count="217" uniqueCount="139">
  <si>
    <t xml:space="preserve">Telemonitoring mit Implantaten </t>
  </si>
  <si>
    <t>Telemonitoring mit externen Geräten</t>
  </si>
  <si>
    <t>normales Telemonitoring</t>
  </si>
  <si>
    <t>intensiviertes Telemonitoring</t>
  </si>
  <si>
    <t>a)</t>
  </si>
  <si>
    <t>b)</t>
  </si>
  <si>
    <t>c)</t>
  </si>
  <si>
    <t>d)</t>
  </si>
  <si>
    <t>e)</t>
  </si>
  <si>
    <t>f)</t>
  </si>
  <si>
    <t>g)</t>
  </si>
  <si>
    <t>h)</t>
  </si>
  <si>
    <t>i)</t>
  </si>
  <si>
    <t xml:space="preserve">Anzahl der stationären Aufnahmen wegen kardialer Dekompensation bei Patienten nach f) 
</t>
  </si>
  <si>
    <t>Anzahl der stationären Aufnahmen wegen kardialer Dekompensation bei Patienten nach h)</t>
  </si>
  <si>
    <t>Anzahl der Patienten, die im Zeitraum eines Jahres vor Beginn des Telemonitorings mindestens eine stationäre Aufnahme wegen kardialer Dekompen-sation hatten</t>
  </si>
  <si>
    <t>Anzahl der Patienten, die im Berichts-zeitraum mindestens eine stationäre Aufnahme wegen kardialer Dekompen-sation hatten</t>
  </si>
  <si>
    <t>Anzahl der Patienten, bei denen das TMZ vorübergehend die Funktion des PBA über-nommen hat</t>
  </si>
  <si>
    <t>Alter der Patienten in Jahren</t>
  </si>
  <si>
    <t>…</t>
  </si>
  <si>
    <t xml:space="preserve">Ausfüllhinweise </t>
  </si>
  <si>
    <t>Anzahl</t>
  </si>
  <si>
    <t>Abs. 1 b)</t>
  </si>
  <si>
    <t>Abs. 1 c)</t>
  </si>
  <si>
    <t>Abs. 1 d)</t>
  </si>
  <si>
    <t>Abs. 1 e)</t>
  </si>
  <si>
    <t xml:space="preserve">Abs. 1 f) </t>
  </si>
  <si>
    <t>Abs. 1 g)</t>
  </si>
  <si>
    <t xml:space="preserve">Abs. 1 h) </t>
  </si>
  <si>
    <t>Abs. 1 i)</t>
  </si>
  <si>
    <t xml:space="preserve">Anteil der Tage mit vollständiger Datenübertragung </t>
  </si>
  <si>
    <t xml:space="preserve">Anzahl der Benachrichtigungen an den PBA </t>
  </si>
  <si>
    <t>SD</t>
  </si>
  <si>
    <t>MW</t>
  </si>
  <si>
    <t>Md</t>
  </si>
  <si>
    <t>Anzahl der vom TMZ mit Telemonitoring versorgten Patienten</t>
  </si>
  <si>
    <t>Zahlenformat</t>
  </si>
  <si>
    <t xml:space="preserve">Abs. 1 </t>
  </si>
  <si>
    <t xml:space="preserve">Anzahl </t>
  </si>
  <si>
    <t>Md = Median; MW = Mittelwert; SD = Standardabweichung, Angabe nur für Mittelwert</t>
  </si>
  <si>
    <t xml:space="preserve">maximal fünfstellige Zahl  ohne führende Nullen (Beispiel: 533)
</t>
  </si>
  <si>
    <t xml:space="preserve">einstellige Zahl; 
wenn zutreffend = 1; sonst keine Angabe.
</t>
  </si>
  <si>
    <t>zweistellige Zahl ohne führende Null
(Beispiel: 4 oder 34)</t>
  </si>
  <si>
    <t>dreistellige Zahl ohne führende Null
(Beispiel: 23)</t>
  </si>
  <si>
    <t>einstellige Zahl; 
wenn zutreffend = 1; sonst keine Angabe.</t>
  </si>
  <si>
    <t>Für jede zutreffende Zuordnung ist jeweils eine "1" im betreffenden Feld einzutragen.
Wenn nicht zutreffend, keine Angabe. 
Patienten können entweder mit Implantaten oder mit externen Geräten dokumentiert werden (s. EBM).
Patienten werden normales oder intensiviertes Monitoring dokumentiert, je nachdem , welche Zuordnung länger im Dokumentationszeitraum bestand.
Die Jahresstatsistik wird in die 4 verschiedenen Gruppen gemäß den Spalten B bis E aufgeteilt.</t>
  </si>
  <si>
    <t xml:space="preserve">maximal fünfstellige Zahl  ohne führende Nullen 
(Beispiel: 34)
</t>
  </si>
  <si>
    <t xml:space="preserve">einstellige Zahl mit zwei Nachkomma-stellen
(Beispiel: 0.75 oder 1.00)
</t>
  </si>
  <si>
    <t>17-87H5</t>
  </si>
  <si>
    <t>TMZ_HI</t>
  </si>
  <si>
    <t>Jahr</t>
  </si>
  <si>
    <t>Festwert</t>
  </si>
  <si>
    <t xml:space="preserve">KV-Nr. </t>
  </si>
  <si>
    <t>Feldnr. nach Anforderungskatalog</t>
  </si>
  <si>
    <t>Feldbeschreibung</t>
  </si>
  <si>
    <t>Verweis nach QS-V § 7</t>
  </si>
  <si>
    <t xml:space="preserve">Datenjahr 
</t>
  </si>
  <si>
    <t>01</t>
  </si>
  <si>
    <t>02</t>
  </si>
  <si>
    <t>03</t>
  </si>
  <si>
    <t>04</t>
  </si>
  <si>
    <t>05</t>
  </si>
  <si>
    <t>06</t>
  </si>
  <si>
    <t>07</t>
  </si>
  <si>
    <t>08</t>
  </si>
  <si>
    <t>09</t>
  </si>
  <si>
    <t>Einsender Pseudonym</t>
  </si>
  <si>
    <t xml:space="preserve">Mit TM betreute Patienten mit Implantaten </t>
  </si>
  <si>
    <t>Mit TM betreute Patienten mit externen Geräten</t>
  </si>
  <si>
    <t xml:space="preserve">Patienten mit normalen TM </t>
  </si>
  <si>
    <t xml:space="preserve">Patienten mit intensi-vierten TM </t>
  </si>
  <si>
    <t xml:space="preserve">TMZ hat vorübergehend die Funktion des PBA übernommen </t>
  </si>
  <si>
    <t>Alter des Patienten</t>
  </si>
  <si>
    <t>Anteil der Tage mit vollständiger Datenübertragung</t>
  </si>
  <si>
    <t>Anzahl der Benachrichtigungen an den PBA</t>
  </si>
  <si>
    <t>Anzahl der stationären Aufnahmen wegen kardialer Dekompensation (im Zeitraum eines Jahres vor Beginn des Telemonitorings)</t>
  </si>
  <si>
    <t>Im Berichtszeitraum mindestens eine stationäre Aufnahme wegen kardialer Dekompensation</t>
  </si>
  <si>
    <t>Anzahl der stationären Aufnahmen wegen kardialer Dekompensation im Berichtszeitraum</t>
  </si>
  <si>
    <r>
      <t xml:space="preserve">Im Zeitraum eines Jahres </t>
    </r>
    <r>
      <rPr>
        <b/>
        <u/>
        <sz val="11"/>
        <rFont val="Calibri"/>
        <family val="2"/>
        <scheme val="minor"/>
      </rPr>
      <t>vor Beginn</t>
    </r>
    <r>
      <rPr>
        <b/>
        <sz val="11"/>
        <rFont val="Calibri"/>
        <family val="2"/>
        <scheme val="minor"/>
      </rPr>
      <t xml:space="preserve"> des Telemonitorings mindestens eine stationäre Aufnahme wegen kardialer Dekompensation</t>
    </r>
  </si>
  <si>
    <t>Feldname nach Anforderungskatalog</t>
  </si>
  <si>
    <t>DATENJAHR</t>
  </si>
  <si>
    <t>EINSENDER_PSEUDONYM</t>
  </si>
  <si>
    <t>TM_PAT_IMP</t>
  </si>
  <si>
    <t>TM_PAT_EXT_GT</t>
  </si>
  <si>
    <t>TM_PAT_NORM</t>
  </si>
  <si>
    <t>TM_PAT_INT</t>
  </si>
  <si>
    <t>TMT_PBA</t>
  </si>
  <si>
    <t>PAT_ALTER</t>
  </si>
  <si>
    <t>ANT_TAGE</t>
  </si>
  <si>
    <t>ANZ_BNR_PBA</t>
  </si>
  <si>
    <t>STAT_AUFN_VOR_TM</t>
  </si>
  <si>
    <t>STAT_AUFN_TM</t>
  </si>
  <si>
    <t>STAT_AUFN_BRZR</t>
  </si>
  <si>
    <t>STAT_AUFN</t>
  </si>
  <si>
    <t>Verweis nach QS-V § 7 Abs. 1</t>
  </si>
  <si>
    <t>00</t>
  </si>
  <si>
    <r>
      <t>DATEN</t>
    </r>
    <r>
      <rPr>
        <b/>
        <sz val="11"/>
        <color rgb="FF000000"/>
        <rFont val="Calibri"/>
        <family val="2"/>
      </rPr>
      <t>JAHR</t>
    </r>
  </si>
  <si>
    <t>KV_NR</t>
  </si>
  <si>
    <t>ANZ_PAT</t>
  </si>
  <si>
    <t>TM_ART</t>
  </si>
  <si>
    <t>ANZ_PAT_TMZ</t>
  </si>
  <si>
    <t>MD_PAT_ALTER</t>
  </si>
  <si>
    <t>MW_PAT_ALTER</t>
  </si>
  <si>
    <t>SD_PAT_ALTER</t>
  </si>
  <si>
    <t>MD_ANT_DBTRG</t>
  </si>
  <si>
    <t>MW_ANT_DBTRG</t>
  </si>
  <si>
    <t>SD_ANT_DBTRG</t>
  </si>
  <si>
    <t>MD_ANZ_BNR_PBA</t>
  </si>
  <si>
    <t>MW_ANZ_BNR_PBA</t>
  </si>
  <si>
    <t>SD_ANZ_BNR_PBA</t>
  </si>
  <si>
    <t>ANZ_PAT_STAT_VOR_TMZ</t>
  </si>
  <si>
    <t>MD_ANZ_PAT_STAT_VOR_TMZ</t>
  </si>
  <si>
    <t>MW_ANZ_PAT_STAT_VOR_TMZ</t>
  </si>
  <si>
    <t>SD_ANZ_PAT_STAT_VOR_TMZ</t>
  </si>
  <si>
    <t>ANZ_PAT_STAT_TMZ</t>
  </si>
  <si>
    <t>MD_ANZ_PAT_STAT_TMZ</t>
  </si>
  <si>
    <t>MW_ANZ_PAT_STAT_TMZ</t>
  </si>
  <si>
    <t>SD_ANZ_PAT_STAT_TMZ</t>
  </si>
  <si>
    <t>Satzart</t>
  </si>
  <si>
    <t xml:space="preserve">Datenjahr
</t>
  </si>
  <si>
    <t>KV-Nr.</t>
  </si>
  <si>
    <t>TM-Art</t>
  </si>
  <si>
    <t>maximal fünfstellige Zahl  ohne führende Nullen (bei mehr als 2 Nachkommastellen wird kaufmännich gerundet)</t>
  </si>
  <si>
    <t xml:space="preserve">maximal fünfstellige Zahl  ohne führende Nullen </t>
  </si>
  <si>
    <t>Festwert = TMZ_HI</t>
  </si>
  <si>
    <t>Jahresangabe</t>
  </si>
  <si>
    <t>zweistellige KV-Nr mit führender Null
(Nummer gemäß KV-Verzeichnis (https://applications.kbv.de/S_KBV_KV_V1.06.xhtml) vorhanden.)</t>
  </si>
  <si>
    <t>- 7-stelliges alphanumerisches Pseu-donym vorhanden
- 2-stelliger Schlüssel Feld Nr. 02, gefolgt von einem Minuszeichen, gefolgt von einem 4-stelligen alpha-numerischen Zufallskennzeichen</t>
  </si>
  <si>
    <t xml:space="preserve">einstellige Zahl; 
wenn zutreffend = 1; sonst keine Angabe.
Diese Zahl bezieht sich auf den Zustand vor Beginn des TM .
Diese Angabe muss  für jeden Pat. IN JEDER  Jahresstatistik wiederholt angegeben werden. </t>
  </si>
  <si>
    <t>zweistellige Zahl, ohne führende Null
(Beispiel: 8 oder 11)
Eintragungen in dieses Feld nur möglich, wenn es Eintragungen in Tabelle gem. Abs.1 f) gibt  (Feld zuvor)</t>
  </si>
  <si>
    <t>zweistellige Zahl, ohne führende Null. 
(Beispiel: 8 oder 11)
Eintragungen in dieses Feld nur mgl., wenn es Eintragungen in Tabelle gem. Abs.1 h) gibt (Feld zuvor)</t>
  </si>
  <si>
    <t xml:space="preserve">Die Angabe zu QS-V § 7 Abs. 1 a) (Anzahl der vom TMZ mit TM versorgten Patienten) muss anhand der entsprechenden TM-Art berechnet werden. </t>
  </si>
  <si>
    <t>1: Telemonitoring mit Im-plantaten 
2: Telemonitoring mit externen Geräten
3: normales Telemonitoring
4: intensiviertes Telemonitoring</t>
  </si>
  <si>
    <t>zweistellige Zahl mit einer Nach-kommastelle, ohne führende Nullen
(es wird kaufmännisch gerundet)</t>
  </si>
  <si>
    <t>zweistellige Zahl mit 2 Nachkommas-tellen, ohne führende Nullen
(es wird kaufmännisch gerundet)</t>
  </si>
  <si>
    <t>maximal fünfstellige Zahl mit 2 Nachkommastellen, ohne führende Nullen
(es wird kaufmännisch gerundet)</t>
  </si>
  <si>
    <t>zweistellige Zahl mit 2 Nachkommastellen, ohne führende Nullen
(es wird kaufmännisch gerundet)</t>
  </si>
  <si>
    <t>maximal einstellige Zahl mit 2 Nach-kommastellen, ohne führende Nullen
(es wird kaufmännisch gerundet)</t>
  </si>
  <si>
    <t>maximal dreistellige Zahl mit 2 Nach-kommastellen, ohne führende Nullen
(es wird kaufmännisch gerundet)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</si>
</sst>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10" x14ac:knownFonts="1">
    <font>
      <sz val="11"/>
      <color theme="1"/>
      <name val="Calibri"/>
      <family val="2"/>
      <scheme val="minor"/>
    </font>
    <font>
      <b/>
      <sz val="11"/>
      <color theme="1"/>
      <name val="Calibri"/>
      <family val="2"/>
      <scheme val="minor"/>
    </font>
    <font>
      <sz val="12"/>
      <color theme="1"/>
      <name val="Calibri"/>
      <family val="2"/>
      <scheme val="minor"/>
    </font>
    <font>
      <b/>
      <sz val="10"/>
      <color theme="1"/>
      <name val="Calibri"/>
      <family val="2"/>
      <scheme val="minor"/>
    </font>
    <font>
      <sz val="11"/>
      <color theme="1"/>
      <name val="Calibri"/>
      <family val="2"/>
      <scheme val="minor"/>
    </font>
    <font>
      <sz val="8"/>
      <name val="Calibri"/>
      <family val="2"/>
      <scheme val="minor"/>
    </font>
    <font>
      <sz val="11"/>
      <color rgb="FF000000"/>
      <name val="Arial"/>
      <family val="2"/>
    </font>
    <font>
      <b/>
      <sz val="11"/>
      <name val="Calibri"/>
      <family val="2"/>
      <scheme val="minor"/>
    </font>
    <font>
      <b/>
      <u/>
      <sz val="11"/>
      <name val="Calibri"/>
      <family val="2"/>
      <scheme val="minor"/>
    </font>
    <font>
      <b/>
      <sz val="11"/>
      <color rgb="FF000000"/>
      <name val="Calibri"/>
      <family val="2"/>
    </font>
  </fonts>
  <fills count="7">
    <fill>
      <patternFill patternType="none"/>
    </fill>
    <fill>
      <patternFill patternType="gray125"/>
    </fill>
    <fill>
      <patternFill patternType="solid">
        <fgColor theme="3" tint="0.79998168889431442"/>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s>
  <borders count="56">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diagonal/>
    </border>
    <border>
      <left/>
      <right/>
      <top style="thin">
        <color indexed="64"/>
      </top>
      <bottom/>
      <diagonal/>
    </border>
    <border>
      <left/>
      <right style="medium">
        <color indexed="64"/>
      </right>
      <top style="thin">
        <color indexed="64"/>
      </top>
      <bottom/>
      <diagonal/>
    </border>
    <border>
      <left/>
      <right style="thin">
        <color theme="1"/>
      </right>
      <top style="thin">
        <color indexed="64"/>
      </top>
      <bottom/>
      <diagonal/>
    </border>
    <border>
      <left/>
      <right style="thin">
        <color theme="1"/>
      </right>
      <top style="medium">
        <color indexed="64"/>
      </top>
      <bottom/>
      <diagonal/>
    </border>
    <border>
      <left style="medium">
        <color indexed="64"/>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thin">
        <color indexed="64"/>
      </left>
      <right style="thin">
        <color indexed="64"/>
      </right>
      <top style="medium">
        <color indexed="64"/>
      </top>
      <bottom style="thin">
        <color indexed="64"/>
      </bottom>
      <diagonal/>
    </border>
    <border>
      <left style="thick">
        <color indexed="64"/>
      </left>
      <right style="thin">
        <color indexed="64"/>
      </right>
      <top style="medium">
        <color indexed="64"/>
      </top>
      <bottom/>
      <diagonal/>
    </border>
    <border>
      <left style="thick">
        <color indexed="64"/>
      </left>
      <right style="thin">
        <color indexed="64"/>
      </right>
      <top style="thin">
        <color indexed="64"/>
      </top>
      <bottom/>
      <diagonal/>
    </border>
    <border>
      <left style="medium">
        <color indexed="64"/>
      </left>
      <right style="thick">
        <color indexed="64"/>
      </right>
      <top style="thin">
        <color indexed="64"/>
      </top>
      <bottom/>
      <diagonal/>
    </border>
    <border>
      <left style="medium">
        <color indexed="64"/>
      </left>
      <right style="thick">
        <color indexed="64"/>
      </right>
      <top/>
      <bottom style="thin">
        <color indexed="64"/>
      </bottom>
      <diagonal/>
    </border>
    <border>
      <left style="medium">
        <color indexed="64"/>
      </left>
      <right style="thick">
        <color indexed="64"/>
      </right>
      <top style="medium">
        <color indexed="64"/>
      </top>
      <bottom/>
      <diagonal/>
    </border>
    <border>
      <left style="thick">
        <color indexed="64"/>
      </left>
      <right style="thin">
        <color theme="1"/>
      </right>
      <top style="thin">
        <color indexed="64"/>
      </top>
      <bottom style="medium">
        <color indexed="64"/>
      </bottom>
      <diagonal/>
    </border>
    <border>
      <left style="medium">
        <color indexed="64"/>
      </left>
      <right style="medium">
        <color indexed="64"/>
      </right>
      <top style="medium">
        <color indexed="64"/>
      </top>
      <bottom/>
      <diagonal/>
    </border>
    <border>
      <left style="thin">
        <color theme="1"/>
      </left>
      <right style="medium">
        <color indexed="64"/>
      </right>
      <top style="medium">
        <color indexed="64"/>
      </top>
      <bottom/>
      <diagonal/>
    </border>
    <border>
      <left style="thin">
        <color theme="1"/>
      </left>
      <right style="medium">
        <color indexed="64"/>
      </right>
      <top style="thin">
        <color indexed="64"/>
      </top>
      <bottom/>
      <diagonal/>
    </border>
    <border>
      <left style="thick">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1"/>
      </left>
      <right style="medium">
        <color indexed="64"/>
      </right>
      <top style="thin">
        <color indexed="64"/>
      </top>
      <bottom style="medium">
        <color indexed="64"/>
      </bottom>
      <diagonal/>
    </border>
    <border>
      <left style="thin">
        <color indexed="64"/>
      </left>
      <right/>
      <top style="thin">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thick">
        <color indexed="64"/>
      </right>
      <top style="medium">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ck">
        <color auto="1"/>
      </left>
      <right style="thick">
        <color auto="1"/>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theme="1"/>
      </right>
      <top style="medium">
        <color indexed="64"/>
      </top>
      <bottom style="medium">
        <color indexed="64"/>
      </bottom>
      <diagonal/>
    </border>
    <border>
      <left/>
      <right/>
      <top style="medium">
        <color indexed="64"/>
      </top>
      <bottom style="medium">
        <color indexed="64"/>
      </bottom>
      <diagonal/>
    </border>
    <border>
      <left style="medium">
        <color theme="1"/>
      </left>
      <right style="medium">
        <color indexed="64"/>
      </right>
      <top style="medium">
        <color indexed="64"/>
      </top>
      <bottom style="medium">
        <color indexed="64"/>
      </bottom>
      <diagonal/>
    </border>
    <border>
      <left style="medium">
        <color theme="1"/>
      </left>
      <right style="medium">
        <color theme="1"/>
      </right>
      <top style="medium">
        <color indexed="64"/>
      </top>
      <bottom style="medium">
        <color indexed="64"/>
      </bottom>
      <diagonal/>
    </border>
    <border>
      <left style="thin">
        <color indexed="64"/>
      </left>
      <right/>
      <top style="thin">
        <color indexed="64"/>
      </top>
      <bottom style="thin">
        <color indexed="64"/>
      </bottom>
      <diagonal/>
    </border>
    <border>
      <left/>
      <right style="medium">
        <color indexed="64"/>
      </right>
      <top style="medium">
        <color indexed="64"/>
      </top>
      <bottom style="medium">
        <color indexed="64"/>
      </bottom>
      <diagonal/>
    </border>
  </borders>
  <cellStyleXfs count="2">
    <xf numFmtId="0" fontId="0" fillId="0" borderId="0"/>
    <xf numFmtId="43" fontId="4" fillId="0" borderId="0" applyFont="0" applyFill="0" applyBorder="0" applyAlignment="0" applyProtection="0"/>
  </cellStyleXfs>
  <cellXfs count="154">
    <xf numFmtId="0" fontId="0" fillId="0" borderId="0" xfId="0"/>
    <xf numFmtId="0" fontId="1" fillId="0" borderId="0" xfId="0" applyFont="1" applyBorder="1" applyAlignment="1">
      <alignment wrapText="1"/>
    </xf>
    <xf numFmtId="0" fontId="0" fillId="0" borderId="0" xfId="0" applyAlignment="1">
      <alignment vertical="top" wrapText="1"/>
    </xf>
    <xf numFmtId="43" fontId="0" fillId="0" borderId="0" xfId="1" applyFont="1" applyAlignment="1">
      <alignment horizontal="center" vertical="center"/>
    </xf>
    <xf numFmtId="0" fontId="0" fillId="0" borderId="0" xfId="0" applyBorder="1"/>
    <xf numFmtId="0" fontId="0" fillId="0" borderId="0" xfId="0" applyFont="1"/>
    <xf numFmtId="0" fontId="1" fillId="0" borderId="0" xfId="0" applyFont="1"/>
    <xf numFmtId="43" fontId="0" fillId="0" borderId="0" xfId="1" applyFont="1" applyAlignment="1">
      <alignment horizontal="left" vertical="top"/>
    </xf>
    <xf numFmtId="2" fontId="0" fillId="0" borderId="0" xfId="0" applyNumberFormat="1"/>
    <xf numFmtId="2" fontId="0" fillId="0" borderId="0" xfId="0" applyNumberFormat="1" applyAlignment="1">
      <alignment horizontal="right" vertical="top"/>
    </xf>
    <xf numFmtId="0" fontId="1" fillId="0" borderId="0" xfId="0" applyFont="1" applyAlignment="1">
      <alignment vertical="top" wrapText="1"/>
    </xf>
    <xf numFmtId="0" fontId="0" fillId="0" borderId="0" xfId="0" applyAlignment="1">
      <alignment horizontal="right" vertical="top"/>
    </xf>
    <xf numFmtId="0" fontId="2" fillId="5" borderId="0" xfId="0" applyFont="1" applyFill="1" applyBorder="1" applyAlignment="1">
      <alignment vertical="center" wrapText="1"/>
    </xf>
    <xf numFmtId="0" fontId="2" fillId="5" borderId="0" xfId="0" applyFont="1" applyFill="1" applyBorder="1" applyAlignment="1">
      <alignment horizontal="center" vertical="center"/>
    </xf>
    <xf numFmtId="0" fontId="2" fillId="5" borderId="0" xfId="0" applyFont="1" applyFill="1" applyBorder="1" applyAlignment="1">
      <alignment vertical="center"/>
    </xf>
    <xf numFmtId="0" fontId="1" fillId="0" borderId="14" xfId="0" applyFont="1" applyBorder="1"/>
    <xf numFmtId="0" fontId="0" fillId="0" borderId="0" xfId="0" applyFont="1" applyBorder="1"/>
    <xf numFmtId="0" fontId="1" fillId="6" borderId="3" xfId="0" applyFont="1" applyFill="1" applyBorder="1" applyAlignment="1">
      <alignment horizontal="left" vertical="top"/>
    </xf>
    <xf numFmtId="0" fontId="0" fillId="0" borderId="0" xfId="0" applyBorder="1" applyAlignment="1">
      <alignment horizontal="left" vertical="top"/>
    </xf>
    <xf numFmtId="0" fontId="0" fillId="6" borderId="3" xfId="0" applyFont="1" applyFill="1" applyBorder="1" applyAlignment="1">
      <alignment horizontal="left" vertical="top" wrapText="1"/>
    </xf>
    <xf numFmtId="0" fontId="0" fillId="0" borderId="3" xfId="0" applyFill="1" applyBorder="1" applyAlignment="1">
      <alignment horizontal="center" vertical="center"/>
    </xf>
    <xf numFmtId="0" fontId="0" fillId="0" borderId="22" xfId="0" applyFill="1" applyBorder="1" applyAlignment="1">
      <alignment horizontal="center" vertical="center"/>
    </xf>
    <xf numFmtId="0" fontId="0" fillId="0" borderId="11" xfId="0" applyFont="1" applyFill="1" applyBorder="1" applyAlignment="1">
      <alignment horizontal="center" vertical="center"/>
    </xf>
    <xf numFmtId="0" fontId="0" fillId="0" borderId="3" xfId="0" applyFont="1" applyFill="1" applyBorder="1" applyAlignment="1">
      <alignment horizontal="center" vertical="center"/>
    </xf>
    <xf numFmtId="2" fontId="0" fillId="0" borderId="3" xfId="1" applyNumberFormat="1" applyFont="1" applyFill="1" applyBorder="1" applyAlignment="1">
      <alignment horizontal="center" vertical="center"/>
    </xf>
    <xf numFmtId="0" fontId="0" fillId="0" borderId="12" xfId="0" applyFill="1" applyBorder="1" applyAlignment="1">
      <alignment horizontal="center" vertical="center"/>
    </xf>
    <xf numFmtId="0" fontId="1" fillId="0" borderId="11" xfId="0" applyFont="1" applyFill="1" applyBorder="1" applyAlignment="1">
      <alignment horizontal="center" vertical="center"/>
    </xf>
    <xf numFmtId="0" fontId="1" fillId="0" borderId="3" xfId="0" applyFont="1" applyFill="1" applyBorder="1" applyAlignment="1">
      <alignment horizontal="center" vertical="center"/>
    </xf>
    <xf numFmtId="0" fontId="0" fillId="0" borderId="40" xfId="0" applyFill="1" applyBorder="1" applyAlignment="1">
      <alignment horizontal="center" vertical="center"/>
    </xf>
    <xf numFmtId="0" fontId="0" fillId="0" borderId="22" xfId="0" applyFont="1" applyFill="1" applyBorder="1" applyAlignment="1">
      <alignment horizontal="center" vertical="center"/>
    </xf>
    <xf numFmtId="2" fontId="0" fillId="0" borderId="22" xfId="1" applyNumberFormat="1" applyFont="1" applyFill="1" applyBorder="1" applyAlignment="1">
      <alignment horizontal="center" vertical="center"/>
    </xf>
    <xf numFmtId="0" fontId="0" fillId="0" borderId="41" xfId="0" applyFill="1" applyBorder="1" applyAlignment="1">
      <alignment horizontal="center" vertical="center"/>
    </xf>
    <xf numFmtId="0" fontId="0" fillId="0" borderId="42" xfId="0" applyFill="1" applyBorder="1" applyAlignment="1">
      <alignment horizontal="center" vertical="center"/>
    </xf>
    <xf numFmtId="0" fontId="0" fillId="0" borderId="4" xfId="0" applyFill="1" applyBorder="1" applyAlignment="1">
      <alignment horizontal="center" vertical="center"/>
    </xf>
    <xf numFmtId="0" fontId="0" fillId="0" borderId="7" xfId="0" applyFill="1" applyBorder="1" applyAlignment="1">
      <alignment horizontal="center" vertical="center"/>
    </xf>
    <xf numFmtId="0" fontId="0" fillId="0" borderId="43" xfId="0" applyFill="1" applyBorder="1" applyAlignment="1">
      <alignment horizontal="center" vertical="center"/>
    </xf>
    <xf numFmtId="0" fontId="0" fillId="0" borderId="44" xfId="0" applyFill="1" applyBorder="1" applyAlignment="1">
      <alignment horizontal="center" vertical="center"/>
    </xf>
    <xf numFmtId="0" fontId="0" fillId="0" borderId="44" xfId="0" applyFont="1" applyFill="1" applyBorder="1" applyAlignment="1">
      <alignment horizontal="center" vertical="center"/>
    </xf>
    <xf numFmtId="0" fontId="0" fillId="0" borderId="33" xfId="0" applyFill="1" applyBorder="1" applyAlignment="1">
      <alignment horizontal="center" vertical="center"/>
    </xf>
    <xf numFmtId="0" fontId="7" fillId="2" borderId="15" xfId="0" applyFont="1" applyFill="1" applyBorder="1" applyAlignment="1">
      <alignment vertical="top" wrapText="1"/>
    </xf>
    <xf numFmtId="0" fontId="7" fillId="2" borderId="18" xfId="0" applyFont="1" applyFill="1" applyBorder="1" applyAlignment="1">
      <alignment vertical="top" wrapText="1"/>
    </xf>
    <xf numFmtId="0" fontId="3" fillId="3" borderId="37" xfId="0" applyFont="1" applyFill="1" applyBorder="1" applyAlignment="1">
      <alignment vertical="center"/>
    </xf>
    <xf numFmtId="0" fontId="3" fillId="3" borderId="45" xfId="0" applyFont="1" applyFill="1" applyBorder="1" applyAlignment="1">
      <alignment vertical="center"/>
    </xf>
    <xf numFmtId="0" fontId="3" fillId="3" borderId="45" xfId="0" applyFont="1" applyFill="1" applyBorder="1" applyAlignment="1">
      <alignment vertical="top"/>
    </xf>
    <xf numFmtId="0" fontId="3" fillId="3" borderId="37" xfId="0" applyFont="1" applyFill="1" applyBorder="1" applyAlignment="1">
      <alignment vertical="top"/>
    </xf>
    <xf numFmtId="0" fontId="0" fillId="2" borderId="18" xfId="0" applyFill="1" applyBorder="1" applyAlignment="1">
      <alignment vertical="top"/>
    </xf>
    <xf numFmtId="0" fontId="1" fillId="2" borderId="18" xfId="0" applyFont="1" applyFill="1" applyBorder="1" applyAlignment="1">
      <alignment vertical="top"/>
    </xf>
    <xf numFmtId="0" fontId="1" fillId="4" borderId="37" xfId="0" applyFont="1" applyFill="1" applyBorder="1" applyAlignment="1">
      <alignment vertical="center" wrapText="1"/>
    </xf>
    <xf numFmtId="0" fontId="1" fillId="4" borderId="9" xfId="0" applyFont="1" applyFill="1" applyBorder="1" applyAlignment="1">
      <alignment vertical="center" wrapText="1"/>
    </xf>
    <xf numFmtId="0" fontId="1" fillId="4" borderId="10" xfId="0" applyFont="1" applyFill="1" applyBorder="1" applyAlignment="1">
      <alignment vertical="center" wrapText="1"/>
    </xf>
    <xf numFmtId="0" fontId="1" fillId="2" borderId="21" xfId="0" applyFont="1" applyFill="1" applyBorder="1" applyAlignment="1">
      <alignment vertical="top"/>
    </xf>
    <xf numFmtId="0" fontId="1" fillId="2" borderId="48" xfId="0" applyFont="1" applyFill="1" applyBorder="1" applyAlignment="1">
      <alignment vertical="top" wrapText="1"/>
    </xf>
    <xf numFmtId="0" fontId="7" fillId="2" borderId="15" xfId="0" quotePrefix="1" applyFont="1" applyFill="1" applyBorder="1" applyAlignment="1">
      <alignment horizontal="center" vertical="top" wrapText="1"/>
    </xf>
    <xf numFmtId="0" fontId="7" fillId="2" borderId="14" xfId="0" quotePrefix="1" applyFont="1" applyFill="1" applyBorder="1" applyAlignment="1">
      <alignment horizontal="center" vertical="top" wrapText="1"/>
    </xf>
    <xf numFmtId="0" fontId="7" fillId="2" borderId="7" xfId="0" quotePrefix="1" applyFont="1" applyFill="1" applyBorder="1" applyAlignment="1">
      <alignment horizontal="center" vertical="top" wrapText="1"/>
    </xf>
    <xf numFmtId="0" fontId="7" fillId="2" borderId="14" xfId="0" applyFont="1" applyFill="1" applyBorder="1" applyAlignment="1">
      <alignment horizontal="center" vertical="top" wrapText="1"/>
    </xf>
    <xf numFmtId="0" fontId="7" fillId="2" borderId="7" xfId="0" applyFont="1" applyFill="1" applyBorder="1" applyAlignment="1">
      <alignment horizontal="center" vertical="top" wrapText="1"/>
    </xf>
    <xf numFmtId="0" fontId="7" fillId="2" borderId="15" xfId="0" applyFont="1" applyFill="1" applyBorder="1" applyAlignment="1">
      <alignment horizontal="center" vertical="top" wrapText="1"/>
    </xf>
    <xf numFmtId="0" fontId="7" fillId="2" borderId="18" xfId="0" applyFont="1" applyFill="1" applyBorder="1" applyAlignment="1">
      <alignment horizontal="center" vertical="top" wrapText="1"/>
    </xf>
    <xf numFmtId="0" fontId="0" fillId="0" borderId="36" xfId="0" applyFont="1" applyFill="1" applyBorder="1" applyAlignment="1">
      <alignment horizontal="center" vertical="center" wrapText="1"/>
    </xf>
    <xf numFmtId="0" fontId="0" fillId="0" borderId="37" xfId="0" applyFill="1" applyBorder="1" applyAlignment="1">
      <alignment horizontal="center"/>
    </xf>
    <xf numFmtId="0" fontId="2" fillId="0" borderId="29" xfId="0" applyFont="1" applyFill="1" applyBorder="1" applyAlignment="1">
      <alignment horizontal="center" vertical="center" wrapText="1"/>
    </xf>
    <xf numFmtId="0" fontId="0" fillId="0" borderId="15" xfId="0" applyFont="1" applyFill="1" applyBorder="1" applyAlignment="1">
      <alignment horizontal="center" vertical="center" wrapText="1"/>
    </xf>
    <xf numFmtId="0" fontId="0" fillId="0" borderId="9" xfId="0" applyFill="1" applyBorder="1" applyAlignment="1">
      <alignment horizontal="center"/>
    </xf>
    <xf numFmtId="0" fontId="2" fillId="0" borderId="18" xfId="0" applyFont="1" applyFill="1" applyBorder="1" applyAlignment="1">
      <alignment horizontal="center" vertical="center"/>
    </xf>
    <xf numFmtId="0" fontId="0" fillId="0" borderId="8" xfId="0" applyFont="1" applyFill="1" applyBorder="1" applyAlignment="1">
      <alignment horizontal="center" vertical="center" wrapText="1"/>
    </xf>
    <xf numFmtId="0" fontId="0" fillId="0" borderId="10" xfId="0" applyFill="1" applyBorder="1" applyAlignment="1">
      <alignment horizontal="center"/>
    </xf>
    <xf numFmtId="0" fontId="2" fillId="0" borderId="10" xfId="0" applyFont="1" applyFill="1" applyBorder="1" applyAlignment="1">
      <alignment horizontal="center" vertical="center"/>
    </xf>
    <xf numFmtId="2" fontId="2" fillId="5" borderId="20" xfId="0" applyNumberFormat="1" applyFont="1" applyFill="1" applyBorder="1" applyAlignment="1">
      <alignment horizontal="center" vertical="center" wrapText="1"/>
    </xf>
    <xf numFmtId="2" fontId="2" fillId="5" borderId="21" xfId="0" applyNumberFormat="1" applyFont="1" applyFill="1" applyBorder="1" applyAlignment="1">
      <alignment horizontal="center" vertical="center" wrapText="1"/>
    </xf>
    <xf numFmtId="2" fontId="2" fillId="5" borderId="21" xfId="0" applyNumberFormat="1" applyFont="1" applyFill="1" applyBorder="1" applyAlignment="1">
      <alignment horizontal="center" vertical="center"/>
    </xf>
    <xf numFmtId="2" fontId="2" fillId="5" borderId="19" xfId="0" applyNumberFormat="1" applyFont="1" applyFill="1" applyBorder="1" applyAlignment="1">
      <alignment horizontal="center" vertical="center"/>
    </xf>
    <xf numFmtId="0" fontId="2" fillId="5" borderId="29" xfId="0" applyNumberFormat="1" applyFont="1" applyFill="1" applyBorder="1" applyAlignment="1">
      <alignment horizontal="center" vertical="center"/>
    </xf>
    <xf numFmtId="0" fontId="2" fillId="5" borderId="18" xfId="0" applyNumberFormat="1" applyFont="1" applyFill="1" applyBorder="1" applyAlignment="1">
      <alignment horizontal="center" vertical="center"/>
    </xf>
    <xf numFmtId="0" fontId="2" fillId="5" borderId="10" xfId="0" applyNumberFormat="1" applyFont="1" applyFill="1" applyBorder="1" applyAlignment="1">
      <alignment horizontal="center" vertical="center"/>
    </xf>
    <xf numFmtId="0" fontId="1" fillId="0" borderId="50" xfId="0" applyFont="1" applyFill="1" applyBorder="1" applyAlignment="1">
      <alignment vertical="top"/>
    </xf>
    <xf numFmtId="0" fontId="0" fillId="0" borderId="53" xfId="0" applyFont="1" applyFill="1" applyBorder="1" applyAlignment="1">
      <alignment vertical="top" wrapText="1"/>
    </xf>
    <xf numFmtId="0" fontId="0" fillId="0" borderId="53" xfId="0" applyFont="1" applyFill="1" applyBorder="1" applyAlignment="1">
      <alignment vertical="top"/>
    </xf>
    <xf numFmtId="0" fontId="0" fillId="6" borderId="3" xfId="0" applyFont="1" applyFill="1" applyBorder="1" applyAlignment="1">
      <alignment horizontal="left" vertical="top"/>
    </xf>
    <xf numFmtId="43" fontId="4" fillId="6" borderId="3" xfId="1" applyFont="1" applyFill="1" applyBorder="1" applyAlignment="1">
      <alignment horizontal="left" vertical="top" wrapText="1"/>
    </xf>
    <xf numFmtId="0" fontId="1" fillId="3" borderId="12" xfId="0" applyFont="1" applyFill="1" applyBorder="1"/>
    <xf numFmtId="0" fontId="1" fillId="3" borderId="35" xfId="0" applyFont="1" applyFill="1" applyBorder="1"/>
    <xf numFmtId="0" fontId="0" fillId="3" borderId="12" xfId="0" applyFill="1" applyBorder="1"/>
    <xf numFmtId="43" fontId="0" fillId="3" borderId="12" xfId="1" applyFont="1" applyFill="1" applyBorder="1" applyAlignment="1">
      <alignment horizontal="left" vertical="center"/>
    </xf>
    <xf numFmtId="0" fontId="7" fillId="2" borderId="11" xfId="0" applyFont="1" applyFill="1" applyBorder="1" applyAlignment="1">
      <alignment horizontal="left" vertical="top" wrapText="1"/>
    </xf>
    <xf numFmtId="43" fontId="7" fillId="2" borderId="11" xfId="1" applyFont="1" applyFill="1" applyBorder="1" applyAlignment="1">
      <alignment horizontal="left" vertical="top" wrapText="1"/>
    </xf>
    <xf numFmtId="0" fontId="7" fillId="2" borderId="3" xfId="0" applyFont="1" applyFill="1" applyBorder="1" applyAlignment="1">
      <alignment horizontal="left" vertical="top" wrapText="1"/>
    </xf>
    <xf numFmtId="0" fontId="1" fillId="2" borderId="3" xfId="0" applyFont="1" applyFill="1" applyBorder="1" applyAlignment="1">
      <alignment horizontal="left" vertical="top" wrapText="1"/>
    </xf>
    <xf numFmtId="0" fontId="7" fillId="2" borderId="39" xfId="0" quotePrefix="1" applyFont="1" applyFill="1" applyBorder="1" applyAlignment="1">
      <alignment horizontal="left" vertical="top" wrapText="1"/>
    </xf>
    <xf numFmtId="43" fontId="7" fillId="2" borderId="39" xfId="1" quotePrefix="1" applyFont="1" applyFill="1" applyBorder="1" applyAlignment="1">
      <alignment horizontal="left" vertical="top" wrapText="1"/>
    </xf>
    <xf numFmtId="0" fontId="7" fillId="2" borderId="39" xfId="0" applyFont="1" applyFill="1" applyBorder="1" applyAlignment="1">
      <alignment horizontal="left" vertical="top" wrapText="1"/>
    </xf>
    <xf numFmtId="0" fontId="0" fillId="2" borderId="0" xfId="0" applyFill="1" applyBorder="1" applyAlignment="1">
      <alignment horizontal="center" vertical="center"/>
    </xf>
    <xf numFmtId="0" fontId="3" fillId="2" borderId="10" xfId="0" applyFont="1" applyFill="1" applyBorder="1" applyAlignment="1">
      <alignment horizontal="left" vertical="center"/>
    </xf>
    <xf numFmtId="0" fontId="3" fillId="2" borderId="8" xfId="0" applyFont="1" applyFill="1" applyBorder="1" applyAlignment="1">
      <alignment horizontal="left" vertical="center"/>
    </xf>
    <xf numFmtId="0" fontId="3" fillId="2" borderId="8" xfId="0" applyFont="1" applyFill="1" applyBorder="1" applyAlignment="1">
      <alignment horizontal="left" vertical="center" wrapText="1"/>
    </xf>
    <xf numFmtId="0" fontId="3" fillId="2" borderId="8" xfId="0" applyFont="1" applyFill="1" applyBorder="1" applyAlignment="1">
      <alignment horizontal="center" wrapText="1"/>
    </xf>
    <xf numFmtId="0" fontId="3" fillId="2" borderId="19" xfId="0" applyFont="1" applyFill="1" applyBorder="1" applyAlignment="1">
      <alignment horizontal="center" wrapText="1"/>
    </xf>
    <xf numFmtId="0" fontId="3" fillId="2" borderId="32" xfId="0" applyFont="1" applyFill="1" applyBorder="1" applyAlignment="1">
      <alignment horizontal="center" wrapText="1"/>
    </xf>
    <xf numFmtId="0" fontId="3" fillId="2" borderId="33" xfId="0" applyFont="1" applyFill="1" applyBorder="1" applyAlignment="1">
      <alignment horizontal="center" wrapText="1"/>
    </xf>
    <xf numFmtId="0" fontId="3" fillId="2" borderId="28" xfId="0" applyFont="1" applyFill="1" applyBorder="1" applyAlignment="1">
      <alignment horizontal="center" wrapText="1"/>
    </xf>
    <xf numFmtId="0" fontId="3" fillId="2" borderId="10" xfId="0" applyFont="1" applyFill="1" applyBorder="1" applyAlignment="1">
      <alignment horizontal="center" wrapText="1"/>
    </xf>
    <xf numFmtId="0" fontId="3" fillId="2" borderId="34" xfId="0" applyFont="1" applyFill="1" applyBorder="1" applyAlignment="1">
      <alignment horizontal="center" wrapText="1"/>
    </xf>
    <xf numFmtId="0" fontId="6" fillId="0" borderId="37" xfId="0" applyFont="1" applyFill="1" applyBorder="1" applyAlignment="1">
      <alignment horizontal="center"/>
    </xf>
    <xf numFmtId="0" fontId="6" fillId="0" borderId="9" xfId="0" applyFont="1" applyFill="1" applyBorder="1" applyAlignment="1">
      <alignment horizontal="center"/>
    </xf>
    <xf numFmtId="0" fontId="6" fillId="0" borderId="10" xfId="0" applyFont="1" applyFill="1" applyBorder="1" applyAlignment="1">
      <alignment horizontal="center"/>
    </xf>
    <xf numFmtId="2" fontId="2" fillId="0" borderId="23" xfId="0" applyNumberFormat="1" applyFont="1" applyFill="1" applyBorder="1" applyAlignment="1">
      <alignment horizontal="center" vertical="center" wrapText="1"/>
    </xf>
    <xf numFmtId="2" fontId="2" fillId="0" borderId="5" xfId="0" applyNumberFormat="1" applyFont="1" applyFill="1" applyBorder="1" applyAlignment="1">
      <alignment horizontal="center" vertical="center"/>
    </xf>
    <xf numFmtId="2" fontId="2" fillId="0" borderId="2" xfId="0" applyNumberFormat="1" applyFont="1" applyFill="1" applyBorder="1" applyAlignment="1">
      <alignment horizontal="center" vertical="center" wrapText="1"/>
    </xf>
    <xf numFmtId="2" fontId="2" fillId="0" borderId="7" xfId="0" applyNumberFormat="1" applyFont="1" applyFill="1" applyBorder="1" applyAlignment="1">
      <alignment horizontal="center" vertical="center"/>
    </xf>
    <xf numFmtId="2" fontId="2" fillId="0" borderId="24" xfId="0" applyNumberFormat="1" applyFont="1" applyFill="1" applyBorder="1" applyAlignment="1">
      <alignment horizontal="center" vertical="center" wrapText="1"/>
    </xf>
    <xf numFmtId="2" fontId="2" fillId="0" borderId="32" xfId="0" applyNumberFormat="1" applyFont="1" applyFill="1" applyBorder="1" applyAlignment="1">
      <alignment horizontal="center" vertical="center" wrapText="1"/>
    </xf>
    <xf numFmtId="2" fontId="2" fillId="0" borderId="33" xfId="0" applyNumberFormat="1" applyFont="1" applyFill="1" applyBorder="1" applyAlignment="1">
      <alignment horizontal="center" vertical="center"/>
    </xf>
    <xf numFmtId="2" fontId="2" fillId="5" borderId="23" xfId="0" applyNumberFormat="1" applyFont="1" applyFill="1" applyBorder="1" applyAlignment="1">
      <alignment horizontal="center" vertical="center" wrapText="1"/>
    </xf>
    <xf numFmtId="2" fontId="2" fillId="5" borderId="5" xfId="0" applyNumberFormat="1" applyFont="1" applyFill="1" applyBorder="1" applyAlignment="1">
      <alignment horizontal="center" vertical="center" wrapText="1"/>
    </xf>
    <xf numFmtId="2" fontId="2" fillId="5" borderId="24" xfId="0" applyNumberFormat="1" applyFont="1" applyFill="1" applyBorder="1" applyAlignment="1">
      <alignment horizontal="center" vertical="center" wrapText="1"/>
    </xf>
    <xf numFmtId="2" fontId="2" fillId="5" borderId="7" xfId="0" applyNumberFormat="1" applyFont="1" applyFill="1" applyBorder="1" applyAlignment="1">
      <alignment horizontal="center" vertical="center" wrapText="1"/>
    </xf>
    <xf numFmtId="2" fontId="2" fillId="5" borderId="7" xfId="0" applyNumberFormat="1" applyFont="1" applyFill="1" applyBorder="1" applyAlignment="1">
      <alignment horizontal="center" vertical="center"/>
    </xf>
    <xf numFmtId="2" fontId="2" fillId="5" borderId="32" xfId="0" applyNumberFormat="1" applyFont="1" applyFill="1" applyBorder="1" applyAlignment="1">
      <alignment horizontal="center" vertical="center" wrapText="1"/>
    </xf>
    <xf numFmtId="2" fontId="2" fillId="5" borderId="33" xfId="0" applyNumberFormat="1" applyFont="1" applyFill="1" applyBorder="1" applyAlignment="1">
      <alignment horizontal="center" vertical="center"/>
    </xf>
    <xf numFmtId="2" fontId="2" fillId="5" borderId="20" xfId="0" applyNumberFormat="1" applyFont="1" applyFill="1" applyBorder="1" applyAlignment="1">
      <alignment horizontal="center" vertical="center"/>
    </xf>
    <xf numFmtId="2" fontId="2" fillId="5" borderId="23" xfId="0" applyNumberFormat="1" applyFont="1" applyFill="1" applyBorder="1" applyAlignment="1">
      <alignment horizontal="center" vertical="center"/>
    </xf>
    <xf numFmtId="2" fontId="2" fillId="5" borderId="13" xfId="0" applyNumberFormat="1" applyFont="1" applyFill="1" applyBorder="1" applyAlignment="1">
      <alignment horizontal="center" vertical="center"/>
    </xf>
    <xf numFmtId="2" fontId="2" fillId="5" borderId="24" xfId="0" applyNumberFormat="1" applyFont="1" applyFill="1" applyBorder="1" applyAlignment="1">
      <alignment horizontal="center" vertical="center"/>
    </xf>
    <xf numFmtId="2" fontId="2" fillId="5" borderId="32" xfId="0" applyNumberFormat="1" applyFont="1" applyFill="1" applyBorder="1" applyAlignment="1">
      <alignment horizontal="center" vertical="center"/>
    </xf>
    <xf numFmtId="2" fontId="2" fillId="5" borderId="27" xfId="0" applyNumberFormat="1" applyFont="1" applyFill="1" applyBorder="1" applyAlignment="1">
      <alignment horizontal="center" vertical="center"/>
    </xf>
    <xf numFmtId="2" fontId="2" fillId="5" borderId="17" xfId="0" applyNumberFormat="1" applyFont="1" applyFill="1" applyBorder="1" applyAlignment="1">
      <alignment horizontal="center" vertical="center"/>
    </xf>
    <xf numFmtId="2" fontId="2" fillId="5" borderId="30" xfId="0" applyNumberFormat="1" applyFont="1" applyFill="1" applyBorder="1" applyAlignment="1">
      <alignment horizontal="center" vertical="center"/>
    </xf>
    <xf numFmtId="2" fontId="2" fillId="5" borderId="25" xfId="0" applyNumberFormat="1" applyFont="1" applyFill="1" applyBorder="1" applyAlignment="1">
      <alignment horizontal="center" vertical="center"/>
    </xf>
    <xf numFmtId="2" fontId="2" fillId="5" borderId="16" xfId="0" applyNumberFormat="1" applyFont="1" applyFill="1" applyBorder="1" applyAlignment="1">
      <alignment horizontal="center" vertical="center"/>
    </xf>
    <xf numFmtId="2" fontId="2" fillId="5" borderId="31" xfId="0" applyNumberFormat="1" applyFont="1" applyFill="1" applyBorder="1" applyAlignment="1">
      <alignment horizontal="center" vertical="center"/>
    </xf>
    <xf numFmtId="2" fontId="2" fillId="5" borderId="15" xfId="0" applyNumberFormat="1" applyFont="1" applyFill="1" applyBorder="1" applyAlignment="1">
      <alignment horizontal="center" vertical="center"/>
    </xf>
    <xf numFmtId="164" fontId="2" fillId="0" borderId="38" xfId="0" applyNumberFormat="1" applyFont="1" applyFill="1" applyBorder="1" applyAlignment="1">
      <alignment horizontal="center" vertical="center" wrapText="1"/>
    </xf>
    <xf numFmtId="164" fontId="2" fillId="0" borderId="26" xfId="0" applyNumberFormat="1" applyFont="1" applyFill="1" applyBorder="1" applyAlignment="1">
      <alignment horizontal="center" vertical="center" wrapText="1"/>
    </xf>
    <xf numFmtId="164" fontId="2" fillId="0" borderId="21" xfId="0" applyNumberFormat="1" applyFont="1" applyFill="1" applyBorder="1" applyAlignment="1">
      <alignment horizontal="center" vertical="center"/>
    </xf>
    <xf numFmtId="164" fontId="2" fillId="0" borderId="19" xfId="0" applyNumberFormat="1" applyFont="1" applyFill="1" applyBorder="1" applyAlignment="1">
      <alignment horizontal="center" vertical="center"/>
    </xf>
    <xf numFmtId="0" fontId="0" fillId="3" borderId="35" xfId="0" applyFont="1" applyFill="1" applyBorder="1" applyAlignment="1">
      <alignment horizontal="center"/>
    </xf>
    <xf numFmtId="0" fontId="1" fillId="3" borderId="14" xfId="0" applyFont="1" applyFill="1" applyBorder="1" applyAlignment="1">
      <alignment horizontal="center"/>
    </xf>
    <xf numFmtId="0" fontId="1" fillId="3" borderId="6" xfId="0" applyFont="1" applyFill="1" applyBorder="1" applyAlignment="1">
      <alignment horizontal="center"/>
    </xf>
    <xf numFmtId="0" fontId="0" fillId="6" borderId="3" xfId="0" applyFont="1" applyFill="1" applyBorder="1" applyAlignment="1">
      <alignment horizontal="left" vertical="top" wrapText="1"/>
    </xf>
    <xf numFmtId="0" fontId="1" fillId="6" borderId="54" xfId="0" applyFont="1" applyFill="1" applyBorder="1" applyAlignment="1">
      <alignment horizontal="center" vertical="top" wrapText="1"/>
    </xf>
    <xf numFmtId="0" fontId="1" fillId="6" borderId="1" xfId="0" applyFont="1" applyFill="1" applyBorder="1" applyAlignment="1">
      <alignment horizontal="center" vertical="top" wrapText="1"/>
    </xf>
    <xf numFmtId="0" fontId="1" fillId="6" borderId="2" xfId="0" applyFont="1" applyFill="1" applyBorder="1" applyAlignment="1">
      <alignment horizontal="center" vertical="top" wrapText="1"/>
    </xf>
    <xf numFmtId="0" fontId="3" fillId="3" borderId="46" xfId="0" applyFont="1" applyFill="1" applyBorder="1" applyAlignment="1">
      <alignment vertical="top"/>
    </xf>
    <xf numFmtId="0" fontId="3" fillId="3" borderId="47" xfId="0" applyFont="1" applyFill="1" applyBorder="1" applyAlignment="1">
      <alignment vertical="top"/>
    </xf>
    <xf numFmtId="0" fontId="3" fillId="3" borderId="41" xfId="0" applyFont="1" applyFill="1" applyBorder="1" applyAlignment="1">
      <alignment vertical="top"/>
    </xf>
    <xf numFmtId="0" fontId="7" fillId="2" borderId="6" xfId="0" applyFont="1" applyFill="1" applyBorder="1" applyAlignment="1">
      <alignment vertical="top" wrapText="1"/>
    </xf>
    <xf numFmtId="0" fontId="7" fillId="2" borderId="14" xfId="0" applyFont="1" applyFill="1" applyBorder="1" applyAlignment="1">
      <alignment vertical="top" wrapText="1"/>
    </xf>
    <xf numFmtId="0" fontId="7" fillId="2" borderId="7" xfId="0" applyFont="1" applyFill="1" applyBorder="1" applyAlignment="1">
      <alignment vertical="top" wrapText="1"/>
    </xf>
    <xf numFmtId="0" fontId="2" fillId="2" borderId="49" xfId="0" applyFont="1" applyFill="1" applyBorder="1" applyAlignment="1">
      <alignment horizontal="center" vertical="center"/>
    </xf>
    <xf numFmtId="0" fontId="2" fillId="2" borderId="51" xfId="0" applyFont="1" applyFill="1" applyBorder="1" applyAlignment="1">
      <alignment horizontal="center" vertical="center"/>
    </xf>
    <xf numFmtId="0" fontId="2" fillId="2" borderId="55" xfId="0" applyFont="1" applyFill="1" applyBorder="1" applyAlignment="1">
      <alignment horizontal="center" vertical="center"/>
    </xf>
    <xf numFmtId="0" fontId="0" fillId="0" borderId="53" xfId="0" applyFont="1" applyFill="1" applyBorder="1" applyAlignment="1">
      <alignment horizontal="left" vertical="top" wrapText="1"/>
    </xf>
    <xf numFmtId="0" fontId="0" fillId="0" borderId="53" xfId="0" quotePrefix="1" applyFont="1" applyFill="1" applyBorder="1" applyAlignment="1">
      <alignment horizontal="left" vertical="top" wrapText="1"/>
    </xf>
    <xf numFmtId="0" fontId="0" fillId="0" borderId="52" xfId="0" applyFont="1" applyFill="1" applyBorder="1" applyAlignment="1">
      <alignment horizontal="left" vertical="top" wrapText="1"/>
    </xf>
  </cellXfs>
  <cellStyles count="2">
    <cellStyle name="Komma" xfId="1" builtinId="3"/>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5"/>
  <sheetViews>
    <sheetView showGridLines="0" zoomScale="110" zoomScaleNormal="110" zoomScalePageLayoutView="90" workbookViewId="0">
      <selection activeCell="D6" sqref="D6"/>
    </sheetView>
  </sheetViews>
  <sheetFormatPr baseColWidth="10" defaultRowHeight="15" x14ac:dyDescent="0.25"/>
  <cols>
    <col min="1" max="1" width="20.7109375" bestFit="1" customWidth="1"/>
    <col min="2" max="2" width="13" customWidth="1"/>
    <col min="3" max="7" width="12" customWidth="1"/>
    <col min="8" max="8" width="21.42578125" customWidth="1"/>
    <col min="9" max="9" width="17.140625" customWidth="1"/>
    <col min="10" max="10" width="20.42578125" style="3" customWidth="1"/>
    <col min="11" max="11" width="17.140625" customWidth="1"/>
    <col min="12" max="15" width="22.7109375" customWidth="1"/>
  </cols>
  <sheetData>
    <row r="1" spans="1:15" x14ac:dyDescent="0.25">
      <c r="A1" s="80" t="s">
        <v>55</v>
      </c>
      <c r="B1" s="81"/>
      <c r="C1" s="81"/>
      <c r="D1" s="135" t="s">
        <v>37</v>
      </c>
      <c r="E1" s="136"/>
      <c r="F1" s="136"/>
      <c r="G1" s="137"/>
      <c r="H1" s="82" t="s">
        <v>22</v>
      </c>
      <c r="I1" s="82" t="s">
        <v>23</v>
      </c>
      <c r="J1" s="83" t="s">
        <v>24</v>
      </c>
      <c r="K1" s="82" t="s">
        <v>25</v>
      </c>
      <c r="L1" s="82" t="s">
        <v>26</v>
      </c>
      <c r="M1" s="82" t="s">
        <v>27</v>
      </c>
      <c r="N1" s="82" t="s">
        <v>28</v>
      </c>
      <c r="O1" s="82" t="s">
        <v>29</v>
      </c>
    </row>
    <row r="2" spans="1:15" s="2" customFormat="1" ht="105" customHeight="1" x14ac:dyDescent="0.25">
      <c r="A2" s="84" t="s">
        <v>54</v>
      </c>
      <c r="B2" s="84" t="s">
        <v>56</v>
      </c>
      <c r="C2" s="84" t="s">
        <v>66</v>
      </c>
      <c r="D2" s="84" t="s">
        <v>67</v>
      </c>
      <c r="E2" s="84" t="s">
        <v>68</v>
      </c>
      <c r="F2" s="84" t="s">
        <v>69</v>
      </c>
      <c r="G2" s="84" t="s">
        <v>70</v>
      </c>
      <c r="H2" s="84" t="s">
        <v>71</v>
      </c>
      <c r="I2" s="84" t="s">
        <v>72</v>
      </c>
      <c r="J2" s="85" t="s">
        <v>73</v>
      </c>
      <c r="K2" s="84" t="s">
        <v>74</v>
      </c>
      <c r="L2" s="84" t="s">
        <v>78</v>
      </c>
      <c r="M2" s="84" t="s">
        <v>75</v>
      </c>
      <c r="N2" s="84" t="s">
        <v>76</v>
      </c>
      <c r="O2" s="84" t="s">
        <v>77</v>
      </c>
    </row>
    <row r="3" spans="1:15" s="2" customFormat="1" ht="45" x14ac:dyDescent="0.25">
      <c r="A3" s="86" t="s">
        <v>79</v>
      </c>
      <c r="B3" s="84" t="s">
        <v>80</v>
      </c>
      <c r="C3" s="84" t="s">
        <v>81</v>
      </c>
      <c r="D3" s="84" t="s">
        <v>82</v>
      </c>
      <c r="E3" s="84" t="s">
        <v>83</v>
      </c>
      <c r="F3" s="84" t="s">
        <v>84</v>
      </c>
      <c r="G3" s="84" t="s">
        <v>85</v>
      </c>
      <c r="H3" s="84" t="s">
        <v>86</v>
      </c>
      <c r="I3" s="84" t="s">
        <v>87</v>
      </c>
      <c r="J3" s="85" t="s">
        <v>88</v>
      </c>
      <c r="K3" s="84" t="s">
        <v>89</v>
      </c>
      <c r="L3" s="84" t="s">
        <v>90</v>
      </c>
      <c r="M3" s="84" t="s">
        <v>91</v>
      </c>
      <c r="N3" s="84" t="s">
        <v>92</v>
      </c>
      <c r="O3" s="84" t="s">
        <v>93</v>
      </c>
    </row>
    <row r="4" spans="1:15" s="2" customFormat="1" ht="30.75" thickBot="1" x14ac:dyDescent="0.3">
      <c r="A4" s="87" t="s">
        <v>53</v>
      </c>
      <c r="B4" s="88" t="s">
        <v>57</v>
      </c>
      <c r="C4" s="88" t="s">
        <v>58</v>
      </c>
      <c r="D4" s="88" t="s">
        <v>59</v>
      </c>
      <c r="E4" s="88" t="s">
        <v>60</v>
      </c>
      <c r="F4" s="88" t="s">
        <v>61</v>
      </c>
      <c r="G4" s="88" t="s">
        <v>62</v>
      </c>
      <c r="H4" s="88" t="s">
        <v>63</v>
      </c>
      <c r="I4" s="88" t="s">
        <v>64</v>
      </c>
      <c r="J4" s="89" t="s">
        <v>65</v>
      </c>
      <c r="K4" s="90">
        <v>10</v>
      </c>
      <c r="L4" s="90">
        <v>11</v>
      </c>
      <c r="M4" s="90">
        <v>12</v>
      </c>
      <c r="N4" s="90">
        <v>13</v>
      </c>
      <c r="O4" s="90">
        <v>14</v>
      </c>
    </row>
    <row r="5" spans="1:15" x14ac:dyDescent="0.25">
      <c r="A5" s="91"/>
      <c r="B5" s="28">
        <v>2023</v>
      </c>
      <c r="C5" s="21" t="s">
        <v>48</v>
      </c>
      <c r="D5" s="21">
        <v>1</v>
      </c>
      <c r="E5" s="21">
        <v>0</v>
      </c>
      <c r="F5" s="21">
        <v>1</v>
      </c>
      <c r="G5" s="21">
        <v>0</v>
      </c>
      <c r="H5" s="29">
        <v>1</v>
      </c>
      <c r="I5" s="21">
        <v>72</v>
      </c>
      <c r="J5" s="30">
        <v>0.8</v>
      </c>
      <c r="K5" s="21">
        <v>3</v>
      </c>
      <c r="L5" s="21">
        <v>1</v>
      </c>
      <c r="M5" s="21">
        <v>0</v>
      </c>
      <c r="N5" s="21">
        <v>1</v>
      </c>
      <c r="O5" s="31">
        <v>5</v>
      </c>
    </row>
    <row r="6" spans="1:15" x14ac:dyDescent="0.25">
      <c r="A6" s="91"/>
      <c r="B6" s="32">
        <v>2023</v>
      </c>
      <c r="C6" s="20" t="s">
        <v>48</v>
      </c>
      <c r="D6" s="20">
        <v>1</v>
      </c>
      <c r="E6" s="20">
        <v>0</v>
      </c>
      <c r="F6" s="20">
        <v>1</v>
      </c>
      <c r="G6" s="20">
        <v>0</v>
      </c>
      <c r="H6" s="23">
        <v>0</v>
      </c>
      <c r="I6" s="20">
        <v>84</v>
      </c>
      <c r="J6" s="24">
        <v>0.94</v>
      </c>
      <c r="K6" s="20">
        <v>27</v>
      </c>
      <c r="L6" s="20">
        <v>0</v>
      </c>
      <c r="M6" s="20"/>
      <c r="N6" s="20">
        <v>1</v>
      </c>
      <c r="O6" s="33">
        <v>3</v>
      </c>
    </row>
    <row r="7" spans="1:15" x14ac:dyDescent="0.25">
      <c r="A7" s="91"/>
      <c r="B7" s="32">
        <v>2023</v>
      </c>
      <c r="C7" s="20" t="s">
        <v>48</v>
      </c>
      <c r="D7" s="20">
        <v>0</v>
      </c>
      <c r="E7" s="20">
        <v>1</v>
      </c>
      <c r="F7" s="20">
        <v>0</v>
      </c>
      <c r="G7" s="20">
        <v>1</v>
      </c>
      <c r="H7" s="23">
        <v>0</v>
      </c>
      <c r="I7" s="20">
        <v>77</v>
      </c>
      <c r="J7" s="24">
        <v>0.36</v>
      </c>
      <c r="K7" s="20">
        <v>34</v>
      </c>
      <c r="L7" s="20">
        <v>1</v>
      </c>
      <c r="M7" s="20">
        <v>5</v>
      </c>
      <c r="N7" s="20">
        <v>1</v>
      </c>
      <c r="O7" s="33">
        <v>4</v>
      </c>
    </row>
    <row r="8" spans="1:15" x14ac:dyDescent="0.25">
      <c r="A8" s="91"/>
      <c r="B8" s="32">
        <v>2023</v>
      </c>
      <c r="C8" s="20" t="s">
        <v>48</v>
      </c>
      <c r="D8" s="20">
        <v>0</v>
      </c>
      <c r="E8" s="20">
        <v>1</v>
      </c>
      <c r="F8" s="20">
        <v>0</v>
      </c>
      <c r="G8" s="20">
        <v>1</v>
      </c>
      <c r="H8" s="23">
        <v>1</v>
      </c>
      <c r="I8" s="20">
        <v>56</v>
      </c>
      <c r="J8" s="24">
        <v>0.91</v>
      </c>
      <c r="K8" s="20">
        <v>5</v>
      </c>
      <c r="L8" s="20">
        <v>0</v>
      </c>
      <c r="M8" s="20"/>
      <c r="N8" s="20">
        <v>1</v>
      </c>
      <c r="O8" s="33">
        <v>3</v>
      </c>
    </row>
    <row r="9" spans="1:15" x14ac:dyDescent="0.25">
      <c r="A9" s="91"/>
      <c r="B9" s="32">
        <v>2023</v>
      </c>
      <c r="C9" s="20" t="s">
        <v>48</v>
      </c>
      <c r="D9" s="20">
        <v>1</v>
      </c>
      <c r="E9" s="20">
        <v>0</v>
      </c>
      <c r="F9" s="20">
        <v>0</v>
      </c>
      <c r="G9" s="20">
        <v>1</v>
      </c>
      <c r="H9" s="23">
        <v>1</v>
      </c>
      <c r="I9" s="20">
        <v>66</v>
      </c>
      <c r="J9" s="24">
        <v>0.97</v>
      </c>
      <c r="K9" s="20">
        <v>2</v>
      </c>
      <c r="L9" s="20">
        <v>1</v>
      </c>
      <c r="M9" s="20">
        <v>3</v>
      </c>
      <c r="N9" s="20">
        <v>0</v>
      </c>
      <c r="O9" s="33"/>
    </row>
    <row r="10" spans="1:15" x14ac:dyDescent="0.25">
      <c r="A10" s="91"/>
      <c r="B10" s="32">
        <v>2023</v>
      </c>
      <c r="C10" s="20" t="s">
        <v>48</v>
      </c>
      <c r="D10" s="20">
        <v>1</v>
      </c>
      <c r="E10" s="20">
        <v>0</v>
      </c>
      <c r="F10" s="20">
        <v>1</v>
      </c>
      <c r="G10" s="20">
        <v>0</v>
      </c>
      <c r="H10" s="23">
        <v>0</v>
      </c>
      <c r="I10" s="20">
        <v>79</v>
      </c>
      <c r="J10" s="24">
        <v>1</v>
      </c>
      <c r="K10" s="20">
        <v>33</v>
      </c>
      <c r="L10" s="20">
        <v>1</v>
      </c>
      <c r="M10" s="20">
        <v>8</v>
      </c>
      <c r="N10" s="20">
        <v>1</v>
      </c>
      <c r="O10" s="33">
        <v>3</v>
      </c>
    </row>
    <row r="11" spans="1:15" x14ac:dyDescent="0.25">
      <c r="A11" s="91"/>
      <c r="B11" s="32">
        <v>2023</v>
      </c>
      <c r="C11" s="20" t="s">
        <v>48</v>
      </c>
      <c r="D11" s="20">
        <v>1</v>
      </c>
      <c r="E11" s="20">
        <v>0</v>
      </c>
      <c r="F11" s="20">
        <v>0</v>
      </c>
      <c r="G11" s="20">
        <v>1</v>
      </c>
      <c r="H11" s="23">
        <v>1</v>
      </c>
      <c r="I11" s="20">
        <v>46</v>
      </c>
      <c r="J11" s="24">
        <v>0.7</v>
      </c>
      <c r="K11" s="20">
        <v>24</v>
      </c>
      <c r="L11" s="20">
        <v>0</v>
      </c>
      <c r="M11" s="20"/>
      <c r="N11" s="20">
        <v>1</v>
      </c>
      <c r="O11" s="33">
        <v>6</v>
      </c>
    </row>
    <row r="12" spans="1:15" x14ac:dyDescent="0.25">
      <c r="A12" s="91"/>
      <c r="B12" s="32">
        <v>2023</v>
      </c>
      <c r="C12" s="20" t="s">
        <v>48</v>
      </c>
      <c r="D12" s="20">
        <v>1</v>
      </c>
      <c r="E12" s="20">
        <v>0</v>
      </c>
      <c r="F12" s="20">
        <v>0</v>
      </c>
      <c r="G12" s="20">
        <v>1</v>
      </c>
      <c r="H12" s="23">
        <v>0</v>
      </c>
      <c r="I12" s="20">
        <v>89</v>
      </c>
      <c r="J12" s="24">
        <v>0.56000000000000005</v>
      </c>
      <c r="K12" s="20">
        <v>4</v>
      </c>
      <c r="L12" s="20">
        <v>1</v>
      </c>
      <c r="M12" s="20">
        <v>7</v>
      </c>
      <c r="N12" s="20">
        <v>0</v>
      </c>
      <c r="O12" s="33"/>
    </row>
    <row r="13" spans="1:15" x14ac:dyDescent="0.25">
      <c r="A13" s="91"/>
      <c r="B13" s="32">
        <v>2023</v>
      </c>
      <c r="C13" s="20" t="s">
        <v>48</v>
      </c>
      <c r="D13" s="20">
        <v>0</v>
      </c>
      <c r="E13" s="20">
        <v>1</v>
      </c>
      <c r="F13" s="20">
        <v>0</v>
      </c>
      <c r="G13" s="20">
        <v>1</v>
      </c>
      <c r="H13" s="23">
        <v>0</v>
      </c>
      <c r="I13" s="20">
        <v>67</v>
      </c>
      <c r="J13" s="24">
        <v>0.99</v>
      </c>
      <c r="K13" s="20">
        <v>0</v>
      </c>
      <c r="L13" s="20">
        <v>0</v>
      </c>
      <c r="M13" s="20"/>
      <c r="N13" s="20">
        <v>1</v>
      </c>
      <c r="O13" s="33">
        <v>3</v>
      </c>
    </row>
    <row r="14" spans="1:15" x14ac:dyDescent="0.25">
      <c r="A14" s="91"/>
      <c r="B14" s="32">
        <v>2023</v>
      </c>
      <c r="C14" s="20" t="s">
        <v>48</v>
      </c>
      <c r="D14" s="25">
        <v>0</v>
      </c>
      <c r="E14" s="25">
        <v>1</v>
      </c>
      <c r="F14" s="25">
        <v>1</v>
      </c>
      <c r="G14" s="25">
        <v>0</v>
      </c>
      <c r="H14" s="23">
        <v>1</v>
      </c>
      <c r="I14" s="20">
        <v>94</v>
      </c>
      <c r="J14" s="24">
        <v>0.87</v>
      </c>
      <c r="K14" s="20">
        <v>1</v>
      </c>
      <c r="L14" s="20">
        <v>1</v>
      </c>
      <c r="M14" s="20">
        <v>6</v>
      </c>
      <c r="N14" s="25">
        <v>1</v>
      </c>
      <c r="O14" s="34">
        <v>1</v>
      </c>
    </row>
    <row r="15" spans="1:15" x14ac:dyDescent="0.25">
      <c r="A15" s="91"/>
      <c r="B15" s="32">
        <v>2023</v>
      </c>
      <c r="C15" s="20" t="s">
        <v>48</v>
      </c>
      <c r="D15" s="25" t="s">
        <v>19</v>
      </c>
      <c r="E15" s="25" t="s">
        <v>19</v>
      </c>
      <c r="F15" s="25" t="s">
        <v>19</v>
      </c>
      <c r="G15" s="25" t="s">
        <v>19</v>
      </c>
      <c r="H15" s="22" t="s">
        <v>19</v>
      </c>
      <c r="I15" s="26" t="s">
        <v>19</v>
      </c>
      <c r="J15" s="26" t="s">
        <v>19</v>
      </c>
      <c r="K15" s="26" t="s">
        <v>19</v>
      </c>
      <c r="L15" s="26" t="s">
        <v>19</v>
      </c>
      <c r="M15" s="26" t="s">
        <v>19</v>
      </c>
      <c r="N15" s="27" t="s">
        <v>19</v>
      </c>
      <c r="O15" s="34" t="s">
        <v>19</v>
      </c>
    </row>
    <row r="16" spans="1:15" ht="15.75" thickBot="1" x14ac:dyDescent="0.3">
      <c r="A16" s="91"/>
      <c r="B16" s="35">
        <v>2023</v>
      </c>
      <c r="C16" s="36" t="s">
        <v>48</v>
      </c>
      <c r="D16" s="36" t="s">
        <v>19</v>
      </c>
      <c r="E16" s="36" t="s">
        <v>19</v>
      </c>
      <c r="F16" s="36" t="s">
        <v>19</v>
      </c>
      <c r="G16" s="36" t="s">
        <v>19</v>
      </c>
      <c r="H16" s="37" t="s">
        <v>19</v>
      </c>
      <c r="I16" s="36" t="s">
        <v>19</v>
      </c>
      <c r="J16" s="36" t="s">
        <v>19</v>
      </c>
      <c r="K16" s="36" t="s">
        <v>19</v>
      </c>
      <c r="L16" s="36" t="s">
        <v>19</v>
      </c>
      <c r="M16" s="36" t="s">
        <v>19</v>
      </c>
      <c r="N16" s="36" t="s">
        <v>19</v>
      </c>
      <c r="O16" s="38" t="s">
        <v>19</v>
      </c>
    </row>
    <row r="17" spans="1:15" x14ac:dyDescent="0.25">
      <c r="H17" s="11"/>
      <c r="I17" s="9"/>
      <c r="J17" s="7"/>
      <c r="K17" s="8"/>
      <c r="M17" s="8"/>
      <c r="O17" s="8"/>
    </row>
    <row r="18" spans="1:15" s="18" customFormat="1" ht="276" customHeight="1" x14ac:dyDescent="0.25">
      <c r="A18" s="17" t="s">
        <v>20</v>
      </c>
      <c r="B18" s="78"/>
      <c r="C18" s="78"/>
      <c r="D18" s="138" t="s">
        <v>45</v>
      </c>
      <c r="E18" s="138"/>
      <c r="F18" s="138"/>
      <c r="G18" s="138"/>
      <c r="H18" s="19" t="s">
        <v>44</v>
      </c>
      <c r="I18" s="19" t="s">
        <v>43</v>
      </c>
      <c r="J18" s="79" t="s">
        <v>47</v>
      </c>
      <c r="K18" s="19" t="s">
        <v>42</v>
      </c>
      <c r="L18" s="19" t="s">
        <v>128</v>
      </c>
      <c r="M18" s="19" t="s">
        <v>129</v>
      </c>
      <c r="N18" s="19" t="s">
        <v>41</v>
      </c>
      <c r="O18" s="19" t="s">
        <v>130</v>
      </c>
    </row>
    <row r="19" spans="1:15" ht="15" customHeight="1" x14ac:dyDescent="0.25">
      <c r="A19" s="139" t="s">
        <v>131</v>
      </c>
      <c r="B19" s="140"/>
      <c r="C19" s="140"/>
      <c r="D19" s="140"/>
      <c r="E19" s="140"/>
      <c r="F19" s="140"/>
      <c r="G19" s="140"/>
      <c r="H19" s="140"/>
      <c r="I19" s="140"/>
      <c r="J19" s="140"/>
      <c r="K19" s="140"/>
      <c r="L19" s="140"/>
      <c r="M19" s="140"/>
      <c r="N19" s="140"/>
      <c r="O19" s="141"/>
    </row>
    <row r="20" spans="1:15" ht="15" customHeight="1" x14ac:dyDescent="0.25">
      <c r="H20" s="1"/>
      <c r="M20" s="10"/>
      <c r="N20" s="6"/>
      <c r="O20" s="10"/>
    </row>
    <row r="21" spans="1:15" x14ac:dyDescent="0.25">
      <c r="H21" s="1"/>
      <c r="M21" s="10"/>
      <c r="N21" s="6"/>
      <c r="O21" s="10"/>
    </row>
    <row r="22" spans="1:15" x14ac:dyDescent="0.25">
      <c r="H22" s="1"/>
    </row>
    <row r="23" spans="1:15" x14ac:dyDescent="0.25">
      <c r="H23" s="1"/>
    </row>
    <row r="24" spans="1:15" x14ac:dyDescent="0.25">
      <c r="E24" s="4"/>
      <c r="H24" s="1"/>
    </row>
    <row r="25" spans="1:15" x14ac:dyDescent="0.25">
      <c r="E25" s="4"/>
      <c r="H25" s="1"/>
    </row>
  </sheetData>
  <mergeCells count="3">
    <mergeCell ref="D1:G1"/>
    <mergeCell ref="D18:G18"/>
    <mergeCell ref="A19:O19"/>
  </mergeCells>
  <phoneticPr fontId="5" type="noConversion"/>
  <pageMargins left="0.7" right="0.7" top="0.78740157499999996" bottom="0.78740157499999996" header="0.3" footer="0.3"/>
  <pageSetup paperSize="9" scale="3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2"/>
  <sheetViews>
    <sheetView showGridLines="0" tabSelected="1" workbookViewId="0">
      <selection activeCell="Q12" sqref="Q12"/>
    </sheetView>
  </sheetViews>
  <sheetFormatPr baseColWidth="10" defaultRowHeight="15" x14ac:dyDescent="0.25"/>
  <cols>
    <col min="1" max="1" width="43.5703125" customWidth="1"/>
    <col min="2" max="6" width="20.28515625" customWidth="1"/>
    <col min="7" max="7" width="16.140625" bestFit="1" customWidth="1"/>
    <col min="8" max="8" width="16.140625" customWidth="1"/>
    <col min="10" max="10" width="13" bestFit="1" customWidth="1"/>
    <col min="13" max="14" width="13" bestFit="1" customWidth="1"/>
    <col min="18" max="18" width="16.140625" customWidth="1"/>
    <col min="22" max="22" width="15.28515625" customWidth="1"/>
    <col min="27" max="27" width="16.140625" bestFit="1" customWidth="1"/>
  </cols>
  <sheetData>
    <row r="1" spans="1:26" x14ac:dyDescent="0.25">
      <c r="A1" s="41" t="s">
        <v>94</v>
      </c>
      <c r="B1" s="42"/>
      <c r="C1" s="42"/>
      <c r="D1" s="42"/>
      <c r="E1" s="42"/>
      <c r="F1" s="42"/>
      <c r="G1" s="43" t="s">
        <v>4</v>
      </c>
      <c r="H1" s="43" t="s">
        <v>5</v>
      </c>
      <c r="I1" s="142" t="s">
        <v>6</v>
      </c>
      <c r="J1" s="143"/>
      <c r="K1" s="144"/>
      <c r="L1" s="142" t="s">
        <v>7</v>
      </c>
      <c r="M1" s="143"/>
      <c r="N1" s="144"/>
      <c r="O1" s="142" t="s">
        <v>8</v>
      </c>
      <c r="P1" s="143"/>
      <c r="Q1" s="144"/>
      <c r="R1" s="44" t="s">
        <v>9</v>
      </c>
      <c r="S1" s="142" t="s">
        <v>10</v>
      </c>
      <c r="T1" s="143"/>
      <c r="U1" s="144"/>
      <c r="V1" s="44" t="s">
        <v>11</v>
      </c>
      <c r="W1" s="142" t="s">
        <v>12</v>
      </c>
      <c r="X1" s="143"/>
      <c r="Y1" s="144"/>
    </row>
    <row r="2" spans="1:26" ht="180" x14ac:dyDescent="0.25">
      <c r="A2" s="45"/>
      <c r="B2" s="39" t="s">
        <v>118</v>
      </c>
      <c r="C2" s="39" t="s">
        <v>119</v>
      </c>
      <c r="D2" s="39" t="s">
        <v>120</v>
      </c>
      <c r="E2" s="39" t="s">
        <v>66</v>
      </c>
      <c r="F2" s="39" t="s">
        <v>121</v>
      </c>
      <c r="G2" s="39" t="s">
        <v>35</v>
      </c>
      <c r="H2" s="39" t="s">
        <v>17</v>
      </c>
      <c r="I2" s="145" t="s">
        <v>18</v>
      </c>
      <c r="J2" s="146"/>
      <c r="K2" s="147"/>
      <c r="L2" s="145" t="s">
        <v>30</v>
      </c>
      <c r="M2" s="146"/>
      <c r="N2" s="147"/>
      <c r="O2" s="145" t="s">
        <v>31</v>
      </c>
      <c r="P2" s="146"/>
      <c r="Q2" s="147"/>
      <c r="R2" s="40" t="s">
        <v>15</v>
      </c>
      <c r="S2" s="145" t="s">
        <v>13</v>
      </c>
      <c r="T2" s="146"/>
      <c r="U2" s="147"/>
      <c r="V2" s="40" t="s">
        <v>16</v>
      </c>
      <c r="W2" s="145" t="s">
        <v>14</v>
      </c>
      <c r="X2" s="146"/>
      <c r="Y2" s="147"/>
    </row>
    <row r="3" spans="1:26" ht="45" x14ac:dyDescent="0.25">
      <c r="A3" s="50" t="s">
        <v>79</v>
      </c>
      <c r="B3" s="51" t="s">
        <v>49</v>
      </c>
      <c r="C3" s="51" t="s">
        <v>96</v>
      </c>
      <c r="D3" s="51" t="s">
        <v>97</v>
      </c>
      <c r="E3" s="51" t="s">
        <v>81</v>
      </c>
      <c r="F3" s="51" t="s">
        <v>99</v>
      </c>
      <c r="G3" s="51" t="s">
        <v>98</v>
      </c>
      <c r="H3" s="51" t="s">
        <v>100</v>
      </c>
      <c r="I3" s="51" t="s">
        <v>101</v>
      </c>
      <c r="J3" s="51" t="s">
        <v>102</v>
      </c>
      <c r="K3" s="51" t="s">
        <v>103</v>
      </c>
      <c r="L3" s="51" t="s">
        <v>104</v>
      </c>
      <c r="M3" s="51" t="s">
        <v>105</v>
      </c>
      <c r="N3" s="51" t="s">
        <v>106</v>
      </c>
      <c r="O3" s="51" t="s">
        <v>107</v>
      </c>
      <c r="P3" s="51" t="s">
        <v>108</v>
      </c>
      <c r="Q3" s="51" t="s">
        <v>109</v>
      </c>
      <c r="R3" s="51" t="s">
        <v>110</v>
      </c>
      <c r="S3" s="51" t="s">
        <v>111</v>
      </c>
      <c r="T3" s="51" t="s">
        <v>112</v>
      </c>
      <c r="U3" s="51" t="s">
        <v>113</v>
      </c>
      <c r="V3" s="51" t="s">
        <v>114</v>
      </c>
      <c r="W3" s="51" t="s">
        <v>115</v>
      </c>
      <c r="X3" s="51" t="s">
        <v>116</v>
      </c>
      <c r="Y3" s="51" t="s">
        <v>117</v>
      </c>
    </row>
    <row r="4" spans="1:26" x14ac:dyDescent="0.25">
      <c r="A4" s="46" t="s">
        <v>53</v>
      </c>
      <c r="B4" s="52" t="s">
        <v>95</v>
      </c>
      <c r="C4" s="52" t="s">
        <v>57</v>
      </c>
      <c r="D4" s="52" t="s">
        <v>58</v>
      </c>
      <c r="E4" s="52" t="s">
        <v>59</v>
      </c>
      <c r="F4" s="52" t="s">
        <v>60</v>
      </c>
      <c r="G4" s="52" t="s">
        <v>61</v>
      </c>
      <c r="H4" s="52" t="s">
        <v>62</v>
      </c>
      <c r="I4" s="53" t="s">
        <v>63</v>
      </c>
      <c r="J4" s="53" t="s">
        <v>64</v>
      </c>
      <c r="K4" s="54" t="s">
        <v>65</v>
      </c>
      <c r="L4" s="55">
        <v>10</v>
      </c>
      <c r="M4" s="55">
        <v>11</v>
      </c>
      <c r="N4" s="56">
        <v>12</v>
      </c>
      <c r="O4" s="55">
        <v>13</v>
      </c>
      <c r="P4" s="55">
        <v>14</v>
      </c>
      <c r="Q4" s="57">
        <v>15</v>
      </c>
      <c r="R4" s="58">
        <v>16</v>
      </c>
      <c r="S4" s="55">
        <v>17</v>
      </c>
      <c r="T4" s="55">
        <v>18</v>
      </c>
      <c r="U4" s="57">
        <v>19</v>
      </c>
      <c r="V4" s="58">
        <v>20</v>
      </c>
      <c r="W4" s="55">
        <v>21</v>
      </c>
      <c r="X4" s="55">
        <v>22</v>
      </c>
      <c r="Y4" s="57">
        <v>23</v>
      </c>
    </row>
    <row r="5" spans="1:26" s="15" customFormat="1" ht="15.75" thickBot="1" x14ac:dyDescent="0.3">
      <c r="A5" s="92"/>
      <c r="B5" s="93" t="s">
        <v>51</v>
      </c>
      <c r="C5" s="93" t="s">
        <v>50</v>
      </c>
      <c r="D5" s="94" t="s">
        <v>52</v>
      </c>
      <c r="E5" s="93"/>
      <c r="F5" s="93"/>
      <c r="G5" s="95" t="s">
        <v>38</v>
      </c>
      <c r="H5" s="95" t="s">
        <v>21</v>
      </c>
      <c r="I5" s="96" t="s">
        <v>34</v>
      </c>
      <c r="J5" s="97" t="s">
        <v>33</v>
      </c>
      <c r="K5" s="98" t="s">
        <v>32</v>
      </c>
      <c r="L5" s="96" t="s">
        <v>34</v>
      </c>
      <c r="M5" s="97" t="s">
        <v>33</v>
      </c>
      <c r="N5" s="98" t="s">
        <v>32</v>
      </c>
      <c r="O5" s="96" t="s">
        <v>34</v>
      </c>
      <c r="P5" s="99" t="s">
        <v>33</v>
      </c>
      <c r="Q5" s="95" t="s">
        <v>32</v>
      </c>
      <c r="R5" s="100" t="s">
        <v>21</v>
      </c>
      <c r="S5" s="96" t="s">
        <v>34</v>
      </c>
      <c r="T5" s="99" t="s">
        <v>33</v>
      </c>
      <c r="U5" s="101" t="s">
        <v>32</v>
      </c>
      <c r="V5" s="100" t="s">
        <v>21</v>
      </c>
      <c r="W5" s="96" t="s">
        <v>34</v>
      </c>
      <c r="X5" s="99" t="s">
        <v>33</v>
      </c>
      <c r="Y5" s="95" t="s">
        <v>32</v>
      </c>
    </row>
    <row r="6" spans="1:26" ht="15.75" customHeight="1" x14ac:dyDescent="0.25">
      <c r="A6" s="47" t="s">
        <v>0</v>
      </c>
      <c r="B6" s="102" t="s">
        <v>49</v>
      </c>
      <c r="C6" s="59">
        <v>2023</v>
      </c>
      <c r="D6" s="59">
        <v>17</v>
      </c>
      <c r="E6" s="59" t="s">
        <v>48</v>
      </c>
      <c r="F6" s="59">
        <v>1</v>
      </c>
      <c r="G6" s="60">
        <f>COUNT('Tab. 1 (Patientenbezogen)'!D5,'Tab. 1 (Patientenbezogen)'!D6,'Tab. 1 (Patientenbezogen)'!D9,'Tab. 1 (Patientenbezogen)'!D10,'Tab. 1 (Patientenbezogen)'!D11,'Tab. 1 (Patientenbezogen)'!D12)</f>
        <v>6</v>
      </c>
      <c r="H6" s="61">
        <f>COUNT('Tab. 1 (Patientenbezogen)'!H5,'Tab. 1 (Patientenbezogen)'!H9,'Tab. 1 (Patientenbezogen)'!H11)</f>
        <v>3</v>
      </c>
      <c r="I6" s="131">
        <f>ROUND(MEDIAN('Tab. 1 (Patientenbezogen)'!I5:I6,'Tab. 1 (Patientenbezogen)'!I9,'Tab. 1 (Patientenbezogen)'!I10,'Tab. 1 (Patientenbezogen)'!I11,'Tab. 1 (Patientenbezogen)'!I12),1)</f>
        <v>75.5</v>
      </c>
      <c r="J6" s="105">
        <f>ROUND(('Tab. 1 (Patientenbezogen)'!I5+'Tab. 1 (Patientenbezogen)'!I6+'Tab. 1 (Patientenbezogen)'!I9+'Tab. 1 (Patientenbezogen)'!I10+'Tab. 1 (Patientenbezogen)'!I11+'Tab. 1 (Patientenbezogen)'!I12)/G6,2)</f>
        <v>72.67</v>
      </c>
      <c r="K6" s="106">
        <f>ROUND(STDEV('Tab. 1 (Patientenbezogen)'!I5:I6,'Tab. 1 (Patientenbezogen)'!I9,'Tab. 1 (Patientenbezogen)'!I10,'Tab. 1 (Patientenbezogen)'!I11,'Tab. 1 (Patientenbezogen)'!I12),2)</f>
        <v>15.44</v>
      </c>
      <c r="L6" s="68">
        <f>ROUND(MEDIAN('Tab. 1 (Patientenbezogen)'!J5:J6,'Tab. 1 (Patientenbezogen)'!J9:J12),2)</f>
        <v>0.87</v>
      </c>
      <c r="M6" s="112">
        <f>ROUND(('Tab. 1 (Patientenbezogen)'!J5+'Tab. 1 (Patientenbezogen)'!J6+'Tab. 1 (Patientenbezogen)'!J9+'Tab. 1 (Patientenbezogen)'!J10+'Tab. 1 (Patientenbezogen)'!J11+'Tab. 1 (Patientenbezogen)'!J12)/G6,2)</f>
        <v>0.83</v>
      </c>
      <c r="N6" s="113">
        <f>ROUND(STDEV('Tab. 1 (Patientenbezogen)'!J5:J6,'Tab. 1 (Patientenbezogen)'!J9:J12),2)</f>
        <v>0.17</v>
      </c>
      <c r="O6" s="119">
        <f>ROUND(MEDIAN('Tab. 1 (Patientenbezogen)'!K5:K6,'Tab. 1 (Patientenbezogen)'!K9:K12),2)</f>
        <v>14</v>
      </c>
      <c r="P6" s="120">
        <f>ROUND(('Tab. 1 (Patientenbezogen)'!K5+'Tab. 1 (Patientenbezogen)'!K6+'Tab. 1 (Patientenbezogen)'!K9+'Tab. 1 (Patientenbezogen)'!K10+'Tab. 1 (Patientenbezogen)'!K11+'Tab. 1 (Patientenbezogen)'!K12)/G6,2)</f>
        <v>15.5</v>
      </c>
      <c r="Q6" s="121">
        <f>ROUND(STDEV('Tab. 1 (Patientenbezogen)'!K5:K6,'Tab. 1 (Patientenbezogen)'!K9:K12),2)</f>
        <v>14.01</v>
      </c>
      <c r="R6" s="72">
        <f>COUNT('Tab. 1 (Patientenbezogen)'!L5,'Tab. 1 (Patientenbezogen)'!L9,'Tab. 1 (Patientenbezogen)'!L10,'Tab. 1 (Patientenbezogen)'!L12)</f>
        <v>4</v>
      </c>
      <c r="S6" s="124">
        <f>ROUND(MEDIAN('Tab. 1 (Patientenbezogen)'!M5,'Tab. 1 (Patientenbezogen)'!M9,'Tab. 1 (Patientenbezogen)'!M10,'Tab. 1 (Patientenbezogen)'!M12),2)</f>
        <v>5</v>
      </c>
      <c r="T6" s="125">
        <f>ROUND(('Tab. 1 (Patientenbezogen)'!M5+'Tab. 1 (Patientenbezogen)'!M9+'Tab. 1 (Patientenbezogen)'!M10+'Tab. 1 (Patientenbezogen)'!M12)/R6,2)</f>
        <v>4.5</v>
      </c>
      <c r="U6" s="126">
        <f>ROUND(STDEV('Tab. 1 (Patientenbezogen)'!M5,'Tab. 1 (Patientenbezogen)'!M9,'Tab. 1 (Patientenbezogen)'!M10,'Tab. 1 (Patientenbezogen)'!M12),2)</f>
        <v>3.7</v>
      </c>
      <c r="V6" s="72">
        <f>COUNT('Tab. 1 (Patientenbezogen)'!N5,'Tab. 1 (Patientenbezogen)'!N6,'Tab. 1 (Patientenbezogen)'!N10,'Tab. 1 (Patientenbezogen)'!N11)</f>
        <v>4</v>
      </c>
      <c r="W6" s="119">
        <f>ROUND(MEDIAN('Tab. 1 (Patientenbezogen)'!O5,'Tab. 1 (Patientenbezogen)'!O6,'Tab. 1 (Patientenbezogen)'!O10,'Tab. 1 (Patientenbezogen)'!O11),2)</f>
        <v>4</v>
      </c>
      <c r="X6" s="120">
        <f>ROUND(('Tab. 1 (Patientenbezogen)'!O5+'Tab. 1 (Patientenbezogen)'!O6+'Tab. 1 (Patientenbezogen)'!O10+'Tab. 1 (Patientenbezogen)'!O11)/V6,2)</f>
        <v>4.25</v>
      </c>
      <c r="Y6" s="121">
        <f>ROUND(STDEV('Tab. 1 (Patientenbezogen)'!O5,'Tab. 1 (Patientenbezogen)'!O6,'Tab. 1 (Patientenbezogen)'!O10,'Tab. 1 (Patientenbezogen)'!O11),2)</f>
        <v>1.5</v>
      </c>
    </row>
    <row r="7" spans="1:26" ht="15" customHeight="1" x14ac:dyDescent="0.25">
      <c r="A7" s="48" t="s">
        <v>1</v>
      </c>
      <c r="B7" s="103" t="s">
        <v>49</v>
      </c>
      <c r="C7" s="62">
        <v>2023</v>
      </c>
      <c r="D7" s="62">
        <v>17</v>
      </c>
      <c r="E7" s="62" t="s">
        <v>48</v>
      </c>
      <c r="F7" s="62">
        <v>2</v>
      </c>
      <c r="G7" s="63">
        <f>COUNT('Tab. 1 (Patientenbezogen)'!E7,'Tab. 1 (Patientenbezogen)'!E8,'Tab. 1 (Patientenbezogen)'!E13,'Tab. 1 (Patientenbezogen)'!E14)</f>
        <v>4</v>
      </c>
      <c r="H7" s="64">
        <f>COUNT('Tab. 1 (Patientenbezogen)'!H8,'Tab. 1 (Patientenbezogen)'!H14)</f>
        <v>2</v>
      </c>
      <c r="I7" s="132">
        <f>ROUND(MEDIAN('Tab. 1 (Patientenbezogen)'!I7:I8,'Tab. 1 (Patientenbezogen)'!I13:I14),1)</f>
        <v>72</v>
      </c>
      <c r="J7" s="107">
        <f>ROUND(('Tab. 1 (Patientenbezogen)'!I7+'Tab. 1 (Patientenbezogen)'!I8+'Tab. 1 (Patientenbezogen)'!I13+'Tab. 1 (Patientenbezogen)'!I14)/G7,2)</f>
        <v>73.5</v>
      </c>
      <c r="K7" s="108">
        <f>ROUND(STDEV('Tab. 1 (Patientenbezogen)'!I7:I8,'Tab. 1 (Patientenbezogen)'!I13:I14),2)</f>
        <v>16.13</v>
      </c>
      <c r="L7" s="69">
        <f>ROUND(MEDIAN('Tab. 1 (Patientenbezogen)'!J7:J8,'Tab. 1 (Patientenbezogen)'!J13:J14),2)</f>
        <v>0.89</v>
      </c>
      <c r="M7" s="114">
        <f>ROUND(('Tab. 1 (Patientenbezogen)'!J7+'Tab. 1 (Patientenbezogen)'!J8+'Tab. 1 (Patientenbezogen)'!J13+'Tab. 1 (Patientenbezogen)'!J14)/G7,2)</f>
        <v>0.78</v>
      </c>
      <c r="N7" s="115">
        <f>ROUND(STDEV('Tab. 1 (Patientenbezogen)'!J7:J8,'Tab. 1 (Patientenbezogen)'!J13:J14),2)</f>
        <v>0.28999999999999998</v>
      </c>
      <c r="O7" s="70">
        <f>ROUND(MEDIAN('Tab. 1 (Patientenbezogen)'!K7:K8,'Tab. 1 (Patientenbezogen)'!K13:K14),2)</f>
        <v>3</v>
      </c>
      <c r="P7" s="122">
        <f>ROUND(('Tab. 1 (Patientenbezogen)'!K7+'Tab. 1 (Patientenbezogen)'!K8+'Tab. 1 (Patientenbezogen)'!K13+'Tab. 1 (Patientenbezogen)'!K14)/G7,2)</f>
        <v>10</v>
      </c>
      <c r="Q7" s="116">
        <f>ROUND(STDEV('Tab. 1 (Patientenbezogen)'!K7:K8,'Tab. 1 (Patientenbezogen)'!K13:K14),2)</f>
        <v>16.149999999999999</v>
      </c>
      <c r="R7" s="73">
        <f>COUNT('Tab. 1 (Patientenbezogen)'!L7,'Tab. 1 (Patientenbezogen)'!L14)</f>
        <v>2</v>
      </c>
      <c r="S7" s="127">
        <f>ROUND(MEDIAN('Tab. 1 (Patientenbezogen)'!M7,'Tab. 1 (Patientenbezogen)'!M14),2)</f>
        <v>5.5</v>
      </c>
      <c r="T7" s="128">
        <f>ROUND(('Tab. 1 (Patientenbezogen)'!M7+'Tab. 1 (Patientenbezogen)'!M14)/R7,2)</f>
        <v>5.5</v>
      </c>
      <c r="U7" s="129">
        <f>ROUND(STDEV('Tab. 1 (Patientenbezogen)'!M7,'Tab. 1 (Patientenbezogen)'!M14),2)</f>
        <v>0.71</v>
      </c>
      <c r="V7" s="73">
        <f>COUNT('Tab. 1 (Patientenbezogen)'!N7,'Tab. 1 (Patientenbezogen)'!N8,'Tab. 1 (Patientenbezogen)'!N13,'Tab. 1 (Patientenbezogen)'!N14)</f>
        <v>4</v>
      </c>
      <c r="W7" s="70">
        <f>ROUND(MEDIAN('Tab. 1 (Patientenbezogen)'!O7,'Tab. 1 (Patientenbezogen)'!O8,'Tab. 1 (Patientenbezogen)'!O13,'Tab. 1 (Patientenbezogen)'!O14),2)</f>
        <v>3</v>
      </c>
      <c r="X7" s="122">
        <f>ROUND(('Tab. 1 (Patientenbezogen)'!O5+'Tab. 1 (Patientenbezogen)'!O6+'Tab. 1 (Patientenbezogen)'!O10+'Tab. 1 (Patientenbezogen)'!O11)/V7,2)</f>
        <v>4.25</v>
      </c>
      <c r="Y7" s="116">
        <f>ROUND(STDEV('Tab. 1 (Patientenbezogen)'!O5,'Tab. 1 (Patientenbezogen)'!O6,'Tab. 1 (Patientenbezogen)'!O10,'Tab. 1 (Patientenbezogen)'!O11),2)</f>
        <v>1.5</v>
      </c>
    </row>
    <row r="8" spans="1:26" ht="15" customHeight="1" x14ac:dyDescent="0.25">
      <c r="A8" s="48" t="s">
        <v>2</v>
      </c>
      <c r="B8" s="103" t="s">
        <v>49</v>
      </c>
      <c r="C8" s="62">
        <v>2023</v>
      </c>
      <c r="D8" s="62">
        <v>17</v>
      </c>
      <c r="E8" s="62" t="s">
        <v>48</v>
      </c>
      <c r="F8" s="62">
        <v>3</v>
      </c>
      <c r="G8" s="63">
        <f>COUNT('Tab. 1 (Patientenbezogen)'!F5,'Tab. 1 (Patientenbezogen)'!F6,'Tab. 1 (Patientenbezogen)'!F10,'Tab. 1 (Patientenbezogen)'!F14)</f>
        <v>4</v>
      </c>
      <c r="H8" s="64">
        <f>COUNT('Tab. 1 (Patientenbezogen)'!H5,'Tab. 1 (Patientenbezogen)'!H14)</f>
        <v>2</v>
      </c>
      <c r="I8" s="133">
        <f>ROUND(MEDIAN('Tab. 1 (Patientenbezogen)'!I5:I6,'Tab. 1 (Patientenbezogen)'!I10,'Tab. 1 (Patientenbezogen)'!I14),1)</f>
        <v>81.5</v>
      </c>
      <c r="J8" s="109">
        <f>ROUND(('Tab. 1 (Patientenbezogen)'!I5+'Tab. 1 (Patientenbezogen)'!I6+'Tab. 1 (Patientenbezogen)'!I10+'Tab. 1 (Patientenbezogen)'!I14)/G8,2)</f>
        <v>82.25</v>
      </c>
      <c r="K8" s="108">
        <f>ROUND(STDEV('Tab. 1 (Patientenbezogen)'!I5:I6,'Tab. 1 (Patientenbezogen)'!I10,'Tab. 1 (Patientenbezogen)'!I14),2)</f>
        <v>9.25</v>
      </c>
      <c r="L8" s="70">
        <f>ROUND(MEDIAN('Tab. 1 (Patientenbezogen)'!J5:J6,'Tab. 1 (Patientenbezogen)'!J10,'Tab. 1 (Patientenbezogen)'!J14),2)</f>
        <v>0.91</v>
      </c>
      <c r="M8" s="114">
        <f>ROUND(('Tab. 1 (Patientenbezogen)'!J5+'Tab. 1 (Patientenbezogen)'!J6+'Tab. 1 (Patientenbezogen)'!J10+'Tab. 1 (Patientenbezogen)'!J14)/G8,2)</f>
        <v>0.9</v>
      </c>
      <c r="N8" s="116">
        <f>ROUND(STDEV('Tab. 1 (Patientenbezogen)'!J5:J6,'Tab. 1 (Patientenbezogen)'!J10,'Tab. 1 (Patientenbezogen)'!J14),2)</f>
        <v>0.09</v>
      </c>
      <c r="O8" s="70">
        <f>ROUND(MEDIAN('Tab. 1 (Patientenbezogen)'!K5:K6,'Tab. 1 (Patientenbezogen)'!K10,'Tab. 1 (Patientenbezogen)'!K14),2)</f>
        <v>15</v>
      </c>
      <c r="P8" s="122">
        <f>ROUND(('Tab. 1 (Patientenbezogen)'!K5+'Tab. 1 (Patientenbezogen)'!K6+'Tab. 1 (Patientenbezogen)'!K10+'Tab. 1 (Patientenbezogen)'!K14)/G8,2)</f>
        <v>16</v>
      </c>
      <c r="Q8" s="116">
        <f>ROUND(STDEV('Tab. 1 (Patientenbezogen)'!K5:K6,'Tab. 1 (Patientenbezogen)'!K10,'Tab. 1 (Patientenbezogen)'!K14),2)</f>
        <v>16.37</v>
      </c>
      <c r="R8" s="73">
        <f>COUNT('Tab. 1 (Patientenbezogen)'!L5,'Tab. 1 (Patientenbezogen)'!L10,'Tab. 1 (Patientenbezogen)'!L14)</f>
        <v>3</v>
      </c>
      <c r="S8" s="127">
        <f>ROUND(MEDIAN('Tab. 1 (Patientenbezogen)'!M5,'Tab. 1 (Patientenbezogen)'!M10,'Tab. 1 (Patientenbezogen)'!M14),2)</f>
        <v>6</v>
      </c>
      <c r="T8" s="128">
        <f>ROUND(('Tab. 1 (Patientenbezogen)'!M5+'Tab. 1 (Patientenbezogen)'!M10+'Tab. 1 (Patientenbezogen)'!M14)/R8,2)</f>
        <v>4.67</v>
      </c>
      <c r="U8" s="130">
        <f>ROUND(STDEV('Tab. 1 (Patientenbezogen)'!M5,'Tab. 1 (Patientenbezogen)'!M10,'Tab. 1 (Patientenbezogen)'!M14),2)</f>
        <v>4.16</v>
      </c>
      <c r="V8" s="73">
        <f>COUNT('Tab. 1 (Patientenbezogen)'!N5,'Tab. 1 (Patientenbezogen)'!N6,'Tab. 1 (Patientenbezogen)'!N10,'Tab. 1 (Patientenbezogen)'!N14)</f>
        <v>4</v>
      </c>
      <c r="W8" s="70">
        <f>ROUND(MEDIAN('Tab. 1 (Patientenbezogen)'!O5,'Tab. 1 (Patientenbezogen)'!O6,'Tab. 1 (Patientenbezogen)'!O10,'Tab. 1 (Patientenbezogen)'!O14),2)</f>
        <v>3</v>
      </c>
      <c r="X8" s="122">
        <f>ROUND(('Tab. 1 (Patientenbezogen)'!O5+'Tab. 1 (Patientenbezogen)'!O6+'Tab. 1 (Patientenbezogen)'!O10+'Tab. 1 (Patientenbezogen)'!O14)/V8,2)</f>
        <v>3</v>
      </c>
      <c r="Y8" s="116">
        <f>ROUND(STDEV('Tab. 1 (Patientenbezogen)'!O5,'Tab. 1 (Patientenbezogen)'!O6,'Tab. 1 (Patientenbezogen)'!O10,'Tab. 1 (Patientenbezogen)'!O14),2)</f>
        <v>1.63</v>
      </c>
    </row>
    <row r="9" spans="1:26" ht="15" customHeight="1" thickBot="1" x14ac:dyDescent="0.3">
      <c r="A9" s="49" t="s">
        <v>3</v>
      </c>
      <c r="B9" s="104" t="s">
        <v>49</v>
      </c>
      <c r="C9" s="65">
        <v>2023</v>
      </c>
      <c r="D9" s="65">
        <v>17</v>
      </c>
      <c r="E9" s="65" t="s">
        <v>48</v>
      </c>
      <c r="F9" s="65">
        <v>4</v>
      </c>
      <c r="G9" s="66">
        <f>COUNT('Tab. 1 (Patientenbezogen)'!G7:G9,'Tab. 1 (Patientenbezogen)'!G11,'Tab. 1 (Patientenbezogen)'!G12,'Tab. 1 (Patientenbezogen)'!G13)</f>
        <v>6</v>
      </c>
      <c r="H9" s="67">
        <f>COUNT('Tab. 1 (Patientenbezogen)'!H8:H9,'Tab. 1 (Patientenbezogen)'!H11)</f>
        <v>3</v>
      </c>
      <c r="I9" s="134">
        <f>ROUND(MEDIAN('Tab. 1 (Patientenbezogen)'!I7:I9,'Tab. 1 (Patientenbezogen)'!I11,'Tab. 1 (Patientenbezogen)'!I12,'Tab. 1 (Patientenbezogen)'!I13),1)</f>
        <v>66.5</v>
      </c>
      <c r="J9" s="110">
        <f>ROUND(('Tab. 1 (Patientenbezogen)'!I7+'Tab. 1 (Patientenbezogen)'!I8+'Tab. 1 (Patientenbezogen)'!I9+'Tab. 1 (Patientenbezogen)'!I11+'Tab. 1 (Patientenbezogen)'!I12+'Tab. 1 (Patientenbezogen)'!I13)/G9,2)</f>
        <v>66.83</v>
      </c>
      <c r="K9" s="111">
        <f>ROUND(STDEV('Tab. 1 (Patientenbezogen)'!I7:I9,'Tab. 1 (Patientenbezogen)'!I11,'Tab. 1 (Patientenbezogen)'!I12,'Tab. 1 (Patientenbezogen)'!I13),2)</f>
        <v>15.14</v>
      </c>
      <c r="L9" s="71">
        <f>ROUND(MEDIAN('Tab. 1 (Patientenbezogen)'!J7:J9,'Tab. 1 (Patientenbezogen)'!J11,'Tab. 1 (Patientenbezogen)'!J12,'Tab. 1 (Patientenbezogen)'!J13),2)</f>
        <v>0.81</v>
      </c>
      <c r="M9" s="117">
        <f>ROUND(('Tab. 1 (Patientenbezogen)'!J7+'Tab. 1 (Patientenbezogen)'!J8+'Tab. 1 (Patientenbezogen)'!J9+'Tab. 1 (Patientenbezogen)'!J11+'Tab. 1 (Patientenbezogen)'!J12+'Tab. 1 (Patientenbezogen)'!J13)/G9,2)</f>
        <v>0.75</v>
      </c>
      <c r="N9" s="118">
        <f>ROUND(STDEV('Tab. 1 (Patientenbezogen)'!J7:J9,'Tab. 1 (Patientenbezogen)'!J11,'Tab. 1 (Patientenbezogen)'!J12,'Tab. 1 (Patientenbezogen)'!J13),2)</f>
        <v>0.25</v>
      </c>
      <c r="O9" s="71">
        <f>ROUND(MEDIAN('Tab. 1 (Patientenbezogen)'!K7:K9,'Tab. 1 (Patientenbezogen)'!K11:K13),2)</f>
        <v>4.5</v>
      </c>
      <c r="P9" s="123">
        <f>ROUND(('Tab. 1 (Patientenbezogen)'!K7+'Tab. 1 (Patientenbezogen)'!K8+'Tab. 1 (Patientenbezogen)'!K9+'Tab. 1 (Patientenbezogen)'!K11+'Tab. 1 (Patientenbezogen)'!K12+'Tab. 1 (Patientenbezogen)'!K13)/G9,2)</f>
        <v>11.5</v>
      </c>
      <c r="Q9" s="118">
        <f>ROUND(STDEV('Tab. 1 (Patientenbezogen)'!K7:K9,'Tab. 1 (Patientenbezogen)'!K11:K13),2)</f>
        <v>14.02</v>
      </c>
      <c r="R9" s="74">
        <f>COUNT('Tab. 1 (Patientenbezogen)'!L7,'Tab. 1 (Patientenbezogen)'!L9,'Tab. 1 (Patientenbezogen)'!L12)</f>
        <v>3</v>
      </c>
      <c r="S9" s="71">
        <f>ROUND(MEDIAN('Tab. 1 (Patientenbezogen)'!M7,'Tab. 1 (Patientenbezogen)'!M9,'Tab. 1 (Patientenbezogen)'!M12),2)</f>
        <v>5</v>
      </c>
      <c r="T9" s="123">
        <f>ROUND(('Tab. 1 (Patientenbezogen)'!M7+'Tab. 1 (Patientenbezogen)'!M9+'Tab. 1 (Patientenbezogen)'!M12)/R9,2)</f>
        <v>5</v>
      </c>
      <c r="U9" s="118">
        <f>ROUND(STDEV('Tab. 1 (Patientenbezogen)'!M7,'Tab. 1 (Patientenbezogen)'!M9,'Tab. 1 (Patientenbezogen)'!M12),2)</f>
        <v>2</v>
      </c>
      <c r="V9" s="74">
        <f>COUNT('Tab. 1 (Patientenbezogen)'!N7,'Tab. 1 (Patientenbezogen)'!N8,'Tab. 1 (Patientenbezogen)'!N11,'Tab. 1 (Patientenbezogen)'!N13)</f>
        <v>4</v>
      </c>
      <c r="W9" s="71">
        <f>ROUND(MEDIAN('Tab. 1 (Patientenbezogen)'!O7,'Tab. 1 (Patientenbezogen)'!O8,'Tab. 1 (Patientenbezogen)'!O11,'Tab. 1 (Patientenbezogen)'!O13),2)</f>
        <v>3.5</v>
      </c>
      <c r="X9" s="123">
        <f>ROUND(('Tab. 1 (Patientenbezogen)'!O7+'Tab. 1 (Patientenbezogen)'!O8+'Tab. 1 (Patientenbezogen)'!O11+'Tab. 1 (Patientenbezogen)'!O13)/V9,2)</f>
        <v>4</v>
      </c>
      <c r="Y9" s="118">
        <f>ROUND(STDEV('Tab. 1 (Patientenbezogen)'!O7,'Tab. 1 (Patientenbezogen)'!O8,'Tab. 1 (Patientenbezogen)'!O11,'Tab. 1 (Patientenbezogen)'!O13),2)</f>
        <v>1.41</v>
      </c>
    </row>
    <row r="10" spans="1:26" ht="15.75" customHeight="1" thickBot="1" x14ac:dyDescent="0.3">
      <c r="A10" s="148" t="s">
        <v>39</v>
      </c>
      <c r="B10" s="149"/>
      <c r="C10" s="149"/>
      <c r="D10" s="149"/>
      <c r="E10" s="149"/>
      <c r="F10" s="149"/>
      <c r="G10" s="149"/>
      <c r="H10" s="149"/>
      <c r="I10" s="149"/>
      <c r="J10" s="149"/>
      <c r="K10" s="149"/>
      <c r="L10" s="149"/>
      <c r="M10" s="149"/>
      <c r="N10" s="149"/>
      <c r="O10" s="149"/>
      <c r="P10" s="149"/>
      <c r="Q10" s="149"/>
      <c r="R10" s="149"/>
      <c r="S10" s="149"/>
      <c r="T10" s="149"/>
      <c r="U10" s="149"/>
      <c r="V10" s="149"/>
      <c r="W10" s="149"/>
      <c r="X10" s="149"/>
      <c r="Y10" s="150"/>
    </row>
    <row r="11" spans="1:26" ht="15.75" customHeight="1" thickBot="1" x14ac:dyDescent="0.3">
      <c r="A11" s="13"/>
      <c r="B11" s="13"/>
      <c r="C11" s="13"/>
      <c r="D11" s="13"/>
      <c r="E11" s="13"/>
      <c r="F11" s="13"/>
      <c r="G11" s="13"/>
      <c r="H11" s="13"/>
      <c r="I11" s="14"/>
      <c r="J11" s="12"/>
      <c r="K11" s="14"/>
      <c r="L11" s="14"/>
      <c r="M11" s="12"/>
      <c r="N11" s="14"/>
      <c r="O11" s="14"/>
      <c r="P11" s="13"/>
      <c r="Q11" s="14"/>
      <c r="R11" s="13"/>
      <c r="S11" s="14"/>
      <c r="T11" s="14"/>
      <c r="U11" s="14"/>
      <c r="V11" s="13"/>
      <c r="W11" s="14"/>
      <c r="X11" s="14"/>
      <c r="Y11" s="13"/>
    </row>
    <row r="12" spans="1:26" s="5" customFormat="1" ht="180.75" thickBot="1" x14ac:dyDescent="0.3">
      <c r="A12" s="75" t="s">
        <v>36</v>
      </c>
      <c r="B12" s="77" t="s">
        <v>124</v>
      </c>
      <c r="C12" s="77" t="s">
        <v>125</v>
      </c>
      <c r="D12" s="76" t="s">
        <v>126</v>
      </c>
      <c r="E12" s="152" t="s">
        <v>127</v>
      </c>
      <c r="F12" s="151" t="s">
        <v>132</v>
      </c>
      <c r="G12" s="152" t="s">
        <v>40</v>
      </c>
      <c r="H12" s="152" t="s">
        <v>46</v>
      </c>
      <c r="I12" s="151" t="s">
        <v>133</v>
      </c>
      <c r="J12" s="151" t="s">
        <v>134</v>
      </c>
      <c r="K12" s="151" t="s">
        <v>136</v>
      </c>
      <c r="L12" s="151" t="s">
        <v>137</v>
      </c>
      <c r="M12" s="151" t="s">
        <v>137</v>
      </c>
      <c r="N12" s="151" t="s">
        <v>137</v>
      </c>
      <c r="O12" s="151" t="s">
        <v>138</v>
      </c>
      <c r="P12" s="151" t="s">
        <v>138</v>
      </c>
      <c r="Q12" s="151" t="s">
        <v>138</v>
      </c>
      <c r="R12" s="151" t="s">
        <v>123</v>
      </c>
      <c r="S12" s="151" t="s">
        <v>135</v>
      </c>
      <c r="T12" s="151" t="s">
        <v>135</v>
      </c>
      <c r="U12" s="151" t="s">
        <v>135</v>
      </c>
      <c r="V12" s="151" t="s">
        <v>122</v>
      </c>
      <c r="W12" s="151" t="s">
        <v>135</v>
      </c>
      <c r="X12" s="151" t="s">
        <v>135</v>
      </c>
      <c r="Y12" s="153" t="s">
        <v>135</v>
      </c>
      <c r="Z12" s="16"/>
    </row>
  </sheetData>
  <mergeCells count="11">
    <mergeCell ref="W1:Y1"/>
    <mergeCell ref="W2:Y2"/>
    <mergeCell ref="A10:Y10"/>
    <mergeCell ref="I1:K1"/>
    <mergeCell ref="L1:N1"/>
    <mergeCell ref="O1:Q1"/>
    <mergeCell ref="S1:U1"/>
    <mergeCell ref="I2:K2"/>
    <mergeCell ref="L2:N2"/>
    <mergeCell ref="O2:Q2"/>
    <mergeCell ref="S2:U2"/>
  </mergeCells>
  <pageMargins left="0.7" right="0.7" top="0.78740157499999996" bottom="0.78740157499999996"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npInfo xmlns="https://www.novapath.de/xmlns">eyJjb250ZW50Ijoie1widmVyc2lvblwiOntcImNvbnRlbnRcIjp7XCJmb3JtYXRcIjo0LFwiYXBwbGljYXRpb25cIjpcIjYuOC41LjE1OTkzXCIsXCJjbGllbnRUeXBlXCI6bnVsbH0sXCJsYXN0VXBkYXRlXCI6MTY5MjEwMDc4OSxcInRlbmFudElkXCI6XCI5RENCMzRBRS1FMEE5LTQxNDQtQkE3NC04QTFCQ0E1QUM5QTVcIixcImNsaWVudElkXCI6XCJzd2Fqcmg2aWJzcnVwNGdwM3czZzcyNzFweXUzZDFyN1wifSxcImRvY3VtZW50XCI6e1wiY29udGVudFwiOntcImlkXCI6XCJHS1I2SDBDUU1ZUFM2TUZNRTdWMlE5NzBPSVwiLFwicHJldmlvdXNJZFwiOlwiOEtRS0U0SUU4UFhDRFBYVlVNSkdJRFdUVEtcIixcInBhdGhcIjpcIkNNYU1pdmlTMk1VTEwwQ01tcmVoWTdBRVhPVXFNWFVvR2xPYVJINE1qUi9vS1I2MldhWkpLcHlSWHphY1pHUTAzUEJmcU9sdDNTMUYyeGJGT3VZMDNRPT1cIixcImRlbGV0ZUFmdGVyRGF0ZVwiOm51bGwsXCJvcmlnaW5hbEFwcGxpY2F0aW9uXCI6XCJFeGNlbFwiLFwiZmxhZ3NcIjpbMF19LFwibGFzdFVwZGF0ZVwiOjE2OTIzNjY3OTksXCJ0ZW5hbnRJZFwiOlwiOURDQjM0QUUtRTBBOS00MTQ0LUJBNzQtOEExQkNBNUFDOUE1XCIsXCJjbGllbnRJZFwiOlwiY2N6YmM5MGh5MmphemZwM3NsYmtsbWZxODA1anZ2cDBcIn0sXCJjb25maWRlbnRpYWxpdHlcIjp7XCJjb250ZW50XCI6e1widGVuYW50SWRcIjpcIjlEQ0IzNEFFLUUwQTktNDE0NC1CQTc0LThBMUJDQTVBQzlBNVwiLFwicmVmZXJlbmNlSWRcIjpcIjlCQTIxN0U4OUNGRDQ5QUJBNUIwMjExNDYxODYzNEFEXCIsXCJjYXRlZ29yeU5hbWVcIjp7fSxcIm5hbWVcIjp7XCJERUZBVUxUXCI6XCJFeHRlcm4tVmVydHJhdWxpY2hcIixcIkRFXCI6XCJFeHRlcm4tVmVydHJhdWxpY2hcIn0sXCJmbGFnc1wiOltdfSxcImxhc3RVcGRhdGVcIjoxNjkyMTAwNzg5LFwidGVuYW50SWRcIjpcIjlEQ0IzNEFFLUUwQTktNDE0NC1CQTc0LThBMUJDQTVBQzlBNVwiLFwiY2xpZW50SWRcIjpcInN3YWpyaDZpYnNydXA0Z3AzdzNnNzI3MXB5dTNkMXI3XCJ9LFwic2VjdXJpdHlcIjp7XCJjb250ZW50XCI6e1wic2V2ZXJpdHlcIjozMDAwLFwiZGxwSW5mb1wiOlwiXCIsXCJzZWN1cml0eUZsYWdzXCI6W119LFwibGFzdFVwZGF0ZVwiOjE2OTIxMDA3ODksXCJ0ZW5hbnRJZFwiOlwiOURDQjM0QUUtRTBBOS00MTQ0LUJBNzQtOEExQkNBNUFDOUE1XCIsXCJjbGllbnRJZFwiOlwic3dhanJoNmlic3J1cDRncDN3M2c3MjcxcHl1M2QxcjdcIn0sXCJtYXJraW5nXCI6e1wiY29udGVudFwiOntcImNvbG9yXCI6XCIjZmY5Njk2XCJ9LFwibGFzdFVwZGF0ZVwiOjE2OTIxMDA3ODksXCJ0ZW5hbnRJZFwiOlwiOURDQjM0QUUtRTBBOS00MTQ0LUJBNzQtOEExQkNBNUFDOUE1XCIsXCJjbGllbnRJZFwiOlwic3dhanJoNmlic3J1cDRncDN3M2c3MjcxcHl1M2QxcjdcIn19Iiwic2lnbmF0dXJlIjoieE5xcXpOUFErLzJIQVFxbWJDVkdBa1RHK2dRL3dlKy9GWmhuOGVzRkQrKytBOWlxL1VIKytDa3ZkenFmc3o0YXdUajVOSStzc3JiMXp4VEdoYjNyQmc9PSJ9</npInfo>
</file>

<file path=customXml/itemProps1.xml><?xml version="1.0" encoding="utf-8"?>
<ds:datastoreItem xmlns:ds="http://schemas.openxmlformats.org/officeDocument/2006/customXml" ds:itemID="{E2E04547-BD8A-4493-B53A-97AAE384BC58}">
  <ds:schemaRefs>
    <ds:schemaRef ds:uri="https://www.novapath.de/xmln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 1 (Patientenbezogen)</vt:lpstr>
      <vt:lpstr>Tab.2 (Jahresstatistik)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Tiede, Franziska (KBV)</dc:creator>
  <cp:lastModifiedBy>Börner, Alexander (KBV)</cp:lastModifiedBy>
  <cp:lastPrinted>2022-08-18T14:22:25Z</cp:lastPrinted>
  <dcterms:created xsi:type="dcterms:W3CDTF">2022-04-27T11:01:28Z</dcterms:created>
  <dcterms:modified xsi:type="dcterms:W3CDTF">2023-08-18T12:18:07Z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lassifizierung">
    <vt:lpwstr>Extern-Vertraulich</vt:lpwstr>
  </property>
  <property fmtid="{D5CDD505-2E9C-101B-9397-08002B2CF9AE}" pid="3" name="Klassifizierungs-Id">
    <vt:lpwstr>9BA217E89CFD49ABA5B02114618634AD</vt:lpwstr>
  </property>
  <property fmtid="{D5CDD505-2E9C-101B-9397-08002B2CF9AE}" pid="4" name="Klassifizierungs-Datum">
    <vt:lpwstr>08/15/2023 11:59:49</vt:lpwstr>
  </property>
  <property fmtid="{D5CDD505-2E9C-101B-9397-08002B2CF9AE}" pid="5" name="NovaPath-SeverityName">
    <vt:lpwstr>Hoch</vt:lpwstr>
  </property>
  <property fmtid="{D5CDD505-2E9C-101B-9397-08002B2CF9AE}" pid="6" name="NovaPath-SeverityLevel">
    <vt:lpwstr>3000</vt:lpwstr>
  </property>
  <property fmtid="{D5CDD505-2E9C-101B-9397-08002B2CF9AE}" pid="7" name="Dokumenten-ID">
    <vt:lpwstr>GKR6H0CQMYPS6MFME7V2Q970OI</vt:lpwstr>
  </property>
  <property fmtid="{D5CDD505-2E9C-101B-9397-08002B2CF9AE}" pid="8" name="NovaPath-Version">
    <vt:lpwstr>6.8.5.15993</vt:lpwstr>
  </property>
</Properties>
</file>